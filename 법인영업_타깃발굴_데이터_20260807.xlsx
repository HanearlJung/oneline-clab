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대상기업" sheetId="2" state="visible" r:id="rId4"/>
    <sheet name="금융상품운용" sheetId="3" state="visible" r:id="rId5"/>
    <sheet name="퇴직연금" sheetId="4" state="visible" r:id="rId6"/>
    <sheet name="자사주처분" sheetId="5" state="visible" r:id="rId7"/>
    <sheet name="주식담보대출" sheetId="6" state="visible" r:id="rId8"/>
    <sheet name="임직원주식보상" sheetId="7" state="visible" r:id="rId9"/>
    <sheet name="대주주자금운용" sheetId="8" state="visible" r:id="rId10"/>
    <sheet name="원천_금융자산" sheetId="9" state="visible" r:id="rId11"/>
    <sheet name="원천_퇴직연금" sheetId="10" state="visible" r:id="rId12"/>
    <sheet name="원천_자사주" sheetId="11" state="visible" r:id="rId13"/>
    <sheet name="원천_주식담보" sheetId="12" state="visible" r:id="rId14"/>
    <sheet name="원천_최대주주변경" sheetId="13" state="visible" r:id="rId15"/>
  </sheets>
  <definedNames>
    <definedName function="false" hidden="true" localSheetId="2" name="_xlnm._FilterDatabase" vbProcedure="false">금융상품운용!$A$4:$O$84</definedName>
    <definedName function="false" hidden="true" localSheetId="1" name="_xlnm._FilterDatabase" vbProcedure="false">대상기업!$A$4:$K$104</definedName>
    <definedName function="false" hidden="true" localSheetId="7" name="_xlnm._FilterDatabase" vbProcedure="false">대주주자금운용!$A$4:$O$31</definedName>
    <definedName function="false" hidden="true" localSheetId="8" name="_xlnm._FilterDatabase" vbProcedure="false">원천_금융자산!$A$4:$L$84</definedName>
    <definedName function="false" hidden="true" localSheetId="10" name="_xlnm._FilterDatabase" vbProcedure="false">원천_자사주!$A$4:$J$160</definedName>
    <definedName function="false" hidden="true" localSheetId="11" name="_xlnm._FilterDatabase" vbProcedure="false">원천_주식담보!$A$4:$L$902</definedName>
    <definedName function="false" hidden="true" localSheetId="12" name="_xlnm._FilterDatabase" vbProcedure="false">원천_최대주주변경!$A$4:$K$33</definedName>
    <definedName function="false" hidden="true" localSheetId="9" name="_xlnm._FilterDatabase" vbProcedure="false">원천_퇴직연금!$A$4:$P$79</definedName>
    <definedName function="false" hidden="true" localSheetId="4" name="_xlnm._FilterDatabase" vbProcedure="false">자사주처분!$A$4:$O$84</definedName>
    <definedName function="false" hidden="true" localSheetId="5" name="_xlnm._FilterDatabase" vbProcedure="false">주식담보대출!$A$4:$O$59</definedName>
    <definedName function="false" hidden="true" localSheetId="3" name="_xlnm._FilterDatabase" vbProcedure="false">퇴직연금!$A$4:$O$79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<sst xmlns="http://schemas.openxmlformats.org/spreadsheetml/2006/main" count="14592" uniqueCount="3298">
  <si>
    <t xml:space="preserve">법인영업 타깃 발굴 — 데이터 명세</t>
  </si>
  <si>
    <r>
      <rPr>
        <sz val="9"/>
        <color rgb="FF6B7280"/>
        <rFont val="나눔고딕"/>
        <family val="2"/>
      </rPr>
      <t xml:space="preserve">삼성증권 </t>
    </r>
    <r>
      <rPr>
        <sz val="9"/>
        <color rgb="FF6B7280"/>
        <rFont val="Cambria"/>
        <family val="0"/>
        <charset val="1"/>
      </rPr>
      <t xml:space="preserve">C-Lab PoC · </t>
    </r>
    <r>
      <rPr>
        <sz val="9"/>
        <color rgb="FF6B7280"/>
        <rFont val="나눔고딕"/>
        <family val="2"/>
      </rPr>
      <t xml:space="preserve">출처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금융감독원 전자공시시스템</t>
    </r>
    <r>
      <rPr>
        <sz val="9"/>
        <color rgb="FF6B7280"/>
        <rFont val="Cambria"/>
        <family val="0"/>
        <charset val="1"/>
      </rPr>
      <t xml:space="preserve">(DART) </t>
    </r>
    <r>
      <rPr>
        <sz val="9"/>
        <color rgb="FF6B7280"/>
        <rFont val="나눔고딕"/>
        <family val="2"/>
      </rPr>
      <t xml:space="preserve">공개 공시</t>
    </r>
  </si>
  <si>
    <t xml:space="preserve">기준일</t>
  </si>
  <si>
    <t xml:space="preserve">2026-08-07</t>
  </si>
  <si>
    <t xml:space="preserve">대상 기업</t>
  </si>
  <si>
    <t xml:space="preserve">생성 시각</t>
  </si>
  <si>
    <t xml:space="preserve">2026-08-07 18:29</t>
  </si>
  <si>
    <t xml:space="preserve">배포 주소</t>
  </si>
  <si>
    <t xml:space="preserve">https://hanearljung.github.io/oneline-clab/</t>
  </si>
  <si>
    <t xml:space="preserve">탭별 커버리지</t>
  </si>
  <si>
    <t xml:space="preserve">탭</t>
  </si>
  <si>
    <t xml:space="preserve">해당 기업 수</t>
  </si>
  <si>
    <t xml:space="preserve">전체</t>
  </si>
  <si>
    <t xml:space="preserve">커버리지</t>
  </si>
  <si>
    <t xml:space="preserve">행 수</t>
  </si>
  <si>
    <t xml:space="preserve">원천 공시</t>
  </si>
  <si>
    <t xml:space="preserve">금융상품 운용</t>
  </si>
  <si>
    <r>
      <rPr>
        <sz val="11"/>
        <color theme="1"/>
        <rFont val="나눔고딕"/>
        <family val="2"/>
      </rPr>
      <t xml:space="preserve">정기보고서 주석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나눔고딕"/>
        <family val="2"/>
      </rPr>
      <t xml:space="preserve">금융상품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범주별 금융자산</t>
    </r>
    <r>
      <rPr>
        <sz val="11"/>
        <color theme="1"/>
        <rFont val="Calibri"/>
        <family val="2"/>
        <charset val="1"/>
      </rPr>
      <t xml:space="preserve">'</t>
    </r>
  </si>
  <si>
    <t xml:space="preserve">퇴직연금</t>
  </si>
  <si>
    <r>
      <rPr>
        <sz val="11"/>
        <color theme="1"/>
        <rFont val="나눔고딕"/>
        <family val="2"/>
      </rPr>
      <t xml:space="preserve">정기보고서 주석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나눔고딕"/>
        <family val="2"/>
      </rPr>
      <t xml:space="preserve">종업원급여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확정급여제도</t>
    </r>
    <r>
      <rPr>
        <sz val="11"/>
        <color theme="1"/>
        <rFont val="Calibri"/>
        <family val="2"/>
        <charset val="1"/>
      </rPr>
      <t xml:space="preserve">'</t>
    </r>
  </si>
  <si>
    <t xml:space="preserve">자사주 처분</t>
  </si>
  <si>
    <r>
      <rPr>
        <sz val="11"/>
        <color theme="1"/>
        <rFont val="나눔고딕"/>
        <family val="2"/>
      </rPr>
      <t xml:space="preserve">주요사항보고서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나눔고딕"/>
        <family val="2"/>
      </rPr>
      <t xml:space="preserve">자기주식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취득 결정</t>
    </r>
    <r>
      <rPr>
        <sz val="11"/>
        <color theme="1"/>
        <rFont val="Calibri"/>
        <family val="2"/>
        <charset val="1"/>
      </rPr>
      <t xml:space="preserve">'</t>
    </r>
  </si>
  <si>
    <t xml:space="preserve">주식담보대출</t>
  </si>
  <si>
    <r>
      <rPr>
        <sz val="11"/>
        <color theme="1"/>
        <rFont val="나눔고딕"/>
        <family val="2"/>
      </rPr>
      <t xml:space="preserve">주식등의 대량보유상황보고서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나눔고딕"/>
        <family val="2"/>
      </rPr>
      <t xml:space="preserve">보유주식등에 관한 계약</t>
    </r>
    <r>
      <rPr>
        <sz val="11"/>
        <color theme="1"/>
        <rFont val="Calibri"/>
        <family val="2"/>
        <charset val="1"/>
      </rPr>
      <t xml:space="preserve">'</t>
    </r>
  </si>
  <si>
    <t xml:space="preserve">임직원 주식보상</t>
  </si>
  <si>
    <r>
      <rPr>
        <sz val="11"/>
        <color theme="1"/>
        <rFont val="나눔고딕"/>
        <family val="2"/>
      </rPr>
      <t xml:space="preserve">정기보고서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나눔고딕"/>
        <family val="2"/>
      </rPr>
      <t xml:space="preserve">주식매수선택권 부여 현황</t>
    </r>
    <r>
      <rPr>
        <sz val="11"/>
        <color theme="1"/>
        <rFont val="Calibri"/>
        <family val="2"/>
        <charset val="1"/>
      </rPr>
      <t xml:space="preserve">'</t>
    </r>
  </si>
  <si>
    <t xml:space="preserve">대주주 자금운용</t>
  </si>
  <si>
    <r>
      <rPr>
        <sz val="11"/>
        <color theme="1"/>
        <rFont val="나눔고딕"/>
        <family val="2"/>
      </rPr>
      <t xml:space="preserve">거래소공시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나눔고딕"/>
        <family val="2"/>
      </rPr>
      <t xml:space="preserve">최대주주변경</t>
    </r>
    <r>
      <rPr>
        <sz val="11"/>
        <color theme="1"/>
        <rFont val="Calibri"/>
        <family val="2"/>
        <charset val="1"/>
      </rPr>
      <t xml:space="preserve">' / '</t>
    </r>
    <r>
      <rPr>
        <sz val="11"/>
        <color theme="1"/>
        <rFont val="나눔고딕"/>
        <family val="2"/>
      </rPr>
      <t xml:space="preserve">주식양수도 계약 체결</t>
    </r>
    <r>
      <rPr>
        <sz val="11"/>
        <color theme="1"/>
        <rFont val="Calibri"/>
        <family val="2"/>
        <charset val="1"/>
      </rPr>
      <t xml:space="preserve">'</t>
    </r>
  </si>
  <si>
    <t xml:space="preserve">합계 행 수</t>
  </si>
  <si>
    <t xml:space="preserve">읽는 법</t>
  </si>
  <si>
    <r>
      <rPr>
        <sz val="9"/>
        <color rgb="FF6B7280"/>
        <rFont val="Cambria"/>
        <family val="0"/>
        <charset val="1"/>
      </rPr>
      <t xml:space="preserve">· '</t>
    </r>
    <r>
      <rPr>
        <sz val="9"/>
        <color rgb="FF6B7280"/>
        <rFont val="나눔고딕"/>
        <family val="2"/>
      </rPr>
      <t xml:space="preserve">영업 규모</t>
    </r>
    <r>
      <rPr>
        <sz val="9"/>
        <color rgb="FF6B7280"/>
        <rFont val="Cambria"/>
        <family val="0"/>
        <charset val="1"/>
      </rPr>
      <t xml:space="preserve">'</t>
    </r>
    <r>
      <rPr>
        <sz val="9"/>
        <color rgb="FF6B7280"/>
        <rFont val="나눔고딕"/>
        <family val="2"/>
      </rPr>
      <t xml:space="preserve">는 회계상 총액이 아니라 증권사가 실제로 유치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전환할 수 있는 금액이다</t>
    </r>
    <r>
      <rPr>
        <sz val="9"/>
        <color rgb="FF6B7280"/>
        <rFont val="Cambria"/>
        <family val="0"/>
        <charset val="1"/>
      </rPr>
      <t xml:space="preserve">.</t>
    </r>
  </si>
  <si>
    <r>
      <rPr>
        <sz val="9"/>
        <color rgb="FF6B7280"/>
        <rFont val="Cambria"/>
        <family val="0"/>
        <charset val="1"/>
      </rPr>
      <t xml:space="preserve">  (</t>
    </r>
    <r>
      <rPr>
        <sz val="9"/>
        <color rgb="FF6B7280"/>
        <rFont val="나눔고딕"/>
        <family val="2"/>
      </rPr>
      <t xml:space="preserve">원금보장형 적립금 </t>
    </r>
    <r>
      <rPr>
        <sz val="9"/>
        <color rgb="FF6B7280"/>
        <rFont val="Cambria"/>
        <family val="0"/>
        <charset val="1"/>
      </rPr>
      <t xml:space="preserve">/ </t>
    </r>
    <r>
      <rPr>
        <sz val="9"/>
        <color rgb="FF6B7280"/>
        <rFont val="나눔고딕"/>
        <family val="2"/>
      </rPr>
      <t xml:space="preserve">예치성 자금 </t>
    </r>
    <r>
      <rPr>
        <sz val="9"/>
        <color rgb="FF6B7280"/>
        <rFont val="Cambria"/>
        <family val="0"/>
        <charset val="1"/>
      </rPr>
      <t xml:space="preserve">/ </t>
    </r>
    <r>
      <rPr>
        <sz val="9"/>
        <color rgb="FF6B7280"/>
        <rFont val="나눔고딕"/>
        <family val="2"/>
      </rPr>
      <t xml:space="preserve">담보 대출금액 </t>
    </r>
    <r>
      <rPr>
        <sz val="9"/>
        <color rgb="FF6B7280"/>
        <rFont val="Cambria"/>
        <family val="0"/>
        <charset val="1"/>
      </rPr>
      <t xml:space="preserve">/ </t>
    </r>
    <r>
      <rPr>
        <sz val="9"/>
        <color rgb="FF6B7280"/>
        <rFont val="나눔고딕"/>
        <family val="2"/>
      </rPr>
      <t xml:space="preserve">양수도 대금</t>
    </r>
    <r>
      <rPr>
        <sz val="9"/>
        <color rgb="FF6B7280"/>
        <rFont val="Cambria"/>
        <family val="0"/>
        <charset val="1"/>
      </rPr>
      <t xml:space="preserve">)</t>
    </r>
  </si>
  <si>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값이 공시되지 않은 기업은 해당 탭에서 제외했다</t>
    </r>
    <r>
      <rPr>
        <sz val="9"/>
        <color rgb="FF6B7280"/>
        <rFont val="Cambria"/>
        <family val="0"/>
        <charset val="1"/>
      </rPr>
      <t xml:space="preserve">. </t>
    </r>
    <r>
      <rPr>
        <sz val="9"/>
        <color rgb="FF6B7280"/>
        <rFont val="나눔고딕"/>
        <family val="2"/>
      </rPr>
      <t xml:space="preserve">커버리지가 그 결과다</t>
    </r>
    <r>
      <rPr>
        <sz val="9"/>
        <color rgb="FF6B7280"/>
        <rFont val="Cambria"/>
        <family val="0"/>
        <charset val="1"/>
      </rPr>
      <t xml:space="preserve">.</t>
    </r>
  </si>
  <si>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이미 지난 이벤트</t>
    </r>
    <r>
      <rPr>
        <sz val="9"/>
        <color rgb="FF6B7280"/>
        <rFont val="Cambria"/>
        <family val="0"/>
        <charset val="1"/>
      </rPr>
      <t xml:space="preserve">(</t>
    </r>
    <r>
      <rPr>
        <sz val="9"/>
        <color rgb="FF6B7280"/>
        <rFont val="나눔고딕"/>
        <family val="2"/>
      </rPr>
      <t xml:space="preserve">처분 종료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담보 만기 경과</t>
    </r>
    <r>
      <rPr>
        <sz val="9"/>
        <color rgb="FF6B7280"/>
        <rFont val="Cambria"/>
        <family val="0"/>
        <charset val="1"/>
      </rPr>
      <t xml:space="preserve">)</t>
    </r>
    <r>
      <rPr>
        <sz val="9"/>
        <color rgb="FF6B7280"/>
        <rFont val="나눔고딕"/>
        <family val="2"/>
      </rPr>
      <t xml:space="preserve">는 제외했다</t>
    </r>
    <r>
      <rPr>
        <sz val="9"/>
        <color rgb="FF6B7280"/>
        <rFont val="Cambria"/>
        <family val="0"/>
        <charset val="1"/>
      </rPr>
      <t xml:space="preserve">.</t>
    </r>
  </si>
  <si>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기준일은 기업마다 다르다</t>
    </r>
    <r>
      <rPr>
        <sz val="9"/>
        <color rgb="FF6B7280"/>
        <rFont val="Cambria"/>
        <family val="0"/>
        <charset val="1"/>
      </rPr>
      <t xml:space="preserve">. </t>
    </r>
    <r>
      <rPr>
        <sz val="9"/>
        <color rgb="FF6B7280"/>
        <rFont val="나눔고딕"/>
        <family val="2"/>
      </rPr>
      <t xml:space="preserve">결산월과 공시 시점이 제각각이기 때문이다</t>
    </r>
    <r>
      <rPr>
        <sz val="9"/>
        <color rgb="FF6B7280"/>
        <rFont val="Cambria"/>
        <family val="0"/>
        <charset val="1"/>
      </rPr>
      <t xml:space="preserve">.</t>
    </r>
  </si>
  <si>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원문 링크는 그 값을 뽑은 실제 공시로 연결된다</t>
    </r>
    <r>
      <rPr>
        <sz val="9"/>
        <color rgb="FF6B7280"/>
        <rFont val="Cambria"/>
        <family val="0"/>
        <charset val="1"/>
      </rPr>
      <t xml:space="preserve">.</t>
    </r>
  </si>
  <si>
    <r>
      <rPr>
        <b val="true"/>
        <sz val="14"/>
        <color rgb="FF101827"/>
        <rFont val="나눔고딕"/>
        <family val="2"/>
      </rPr>
      <t xml:space="preserve">대상 상장사 </t>
    </r>
    <r>
      <rPr>
        <b val="true"/>
        <sz val="14"/>
        <color rgb="FF101827"/>
        <rFont val="Cambria"/>
        <family val="0"/>
        <charset val="1"/>
      </rPr>
      <t xml:space="preserve">100</t>
    </r>
    <r>
      <rPr>
        <b val="true"/>
        <sz val="14"/>
        <color rgb="FF101827"/>
        <rFont val="나눔고딕"/>
        <family val="2"/>
      </rPr>
      <t xml:space="preserve">개사</t>
    </r>
  </si>
  <si>
    <r>
      <rPr>
        <sz val="9"/>
        <color rgb="FF6B7280"/>
        <rFont val="나눔고딕"/>
        <family val="2"/>
      </rPr>
      <t xml:space="preserve">이벤트 공시 보유 종류 우선</t>
    </r>
    <r>
      <rPr>
        <sz val="9"/>
        <color rgb="FF6B7280"/>
        <rFont val="Cambria"/>
        <family val="0"/>
        <charset val="1"/>
      </rPr>
      <t xml:space="preserve">, </t>
    </r>
    <r>
      <rPr>
        <sz val="9"/>
        <color rgb="FF6B7280"/>
        <rFont val="나눔고딕"/>
        <family val="2"/>
      </rPr>
      <t xml:space="preserve">동수면 시가총액 순으로 선정</t>
    </r>
  </si>
  <si>
    <t xml:space="preserve">기업명</t>
  </si>
  <si>
    <t xml:space="preserve">종목코드</t>
  </si>
  <si>
    <t xml:space="preserve">고유번호</t>
  </si>
  <si>
    <t xml:space="preserve">시장</t>
  </si>
  <si>
    <t xml:space="preserve">업종</t>
  </si>
  <si>
    <r>
      <rPr>
        <b val="true"/>
        <sz val="10"/>
        <color rgb="FFFFFFFF"/>
        <rFont val="나눔고딕"/>
        <family val="2"/>
      </rPr>
      <t xml:space="preserve">시가총액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억원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</si>
  <si>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최신 정기보고서</t>
  </si>
  <si>
    <t xml:space="preserve">접수일</t>
  </si>
  <si>
    <t xml:space="preserve">자사주</t>
  </si>
  <si>
    <t xml:space="preserve">담보</t>
  </si>
  <si>
    <t xml:space="preserve">최대주주변경</t>
  </si>
  <si>
    <t xml:space="preserve">케이티앤지</t>
  </si>
  <si>
    <t xml:space="preserve">033780</t>
  </si>
  <si>
    <t xml:space="preserve">00244455</t>
  </si>
  <si>
    <t xml:space="preserve">KOSPI</t>
  </si>
  <si>
    <t xml:space="preserve">담배 제조업</t>
  </si>
  <si>
    <r>
      <rPr>
        <sz val="11"/>
        <color theme="1"/>
        <rFont val="나눔고딕"/>
        <family val="2"/>
      </rPr>
      <t xml:space="preserve">사업보고서 </t>
    </r>
    <r>
      <rPr>
        <sz val="11"/>
        <color theme="1"/>
        <rFont val="Calibri"/>
        <family val="2"/>
        <charset val="1"/>
      </rPr>
      <t xml:space="preserve">(2025.12)</t>
    </r>
  </si>
  <si>
    <t xml:space="preserve">20260318</t>
  </si>
  <si>
    <t xml:space="preserve">O</t>
  </si>
  <si>
    <t xml:space="preserve">한솔케미칼</t>
  </si>
  <si>
    <t xml:space="preserve">014680</t>
  </si>
  <si>
    <t xml:space="preserve">00140955</t>
  </si>
  <si>
    <t xml:space="preserve">기초 화학물질 제조업</t>
  </si>
  <si>
    <t xml:space="preserve">위메이드</t>
  </si>
  <si>
    <t xml:space="preserve">112040</t>
  </si>
  <si>
    <t xml:space="preserve">00444329</t>
  </si>
  <si>
    <t xml:space="preserve">KOSDAQ</t>
  </si>
  <si>
    <t xml:space="preserve">소프트웨어 개발 및 공급업</t>
  </si>
  <si>
    <t xml:space="preserve">20260319</t>
  </si>
  <si>
    <t xml:space="preserve">한양이엔지</t>
  </si>
  <si>
    <t xml:space="preserve">045100</t>
  </si>
  <si>
    <t xml:space="preserve">00216762</t>
  </si>
  <si>
    <r>
      <rPr>
        <sz val="11"/>
        <color theme="1"/>
        <rFont val="나눔고딕"/>
        <family val="2"/>
      </rPr>
      <t xml:space="preserve">건축기술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엔지니어링 및 관련 기술 서비스업</t>
    </r>
  </si>
  <si>
    <t xml:space="preserve">20260313</t>
  </si>
  <si>
    <t xml:space="preserve">한양디지텍</t>
  </si>
  <si>
    <t xml:space="preserve">078350</t>
  </si>
  <si>
    <t xml:space="preserve">00488989</t>
  </si>
  <si>
    <t xml:space="preserve">반도체 제조업</t>
  </si>
  <si>
    <t xml:space="preserve">20260316</t>
  </si>
  <si>
    <t xml:space="preserve">스틱인베스트먼트</t>
  </si>
  <si>
    <t xml:space="preserve">026890</t>
  </si>
  <si>
    <t xml:space="preserve">00117498</t>
  </si>
  <si>
    <t xml:space="preserve">신탁업 및 집합투자업</t>
  </si>
  <si>
    <t xml:space="preserve">SIMPAC</t>
  </si>
  <si>
    <t xml:space="preserve">009160</t>
  </si>
  <si>
    <t xml:space="preserve">00138260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</si>
  <si>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차 철강 제조업</t>
    </r>
  </si>
  <si>
    <t xml:space="preserve">스맥</t>
  </si>
  <si>
    <t xml:space="preserve">099440</t>
  </si>
  <si>
    <t xml:space="preserve">00580056</t>
  </si>
  <si>
    <t xml:space="preserve">특수 목적용 기계 제조업</t>
  </si>
  <si>
    <t xml:space="preserve">20260323</t>
  </si>
  <si>
    <t xml:space="preserve">JTC</t>
  </si>
  <si>
    <t xml:space="preserve">950170</t>
  </si>
  <si>
    <t xml:space="preserve">01041828</t>
  </si>
  <si>
    <t xml:space="preserve">종합 소매업</t>
  </si>
  <si>
    <r>
      <rPr>
        <sz val="11"/>
        <color theme="1"/>
        <rFont val="나눔고딕"/>
        <family val="2"/>
      </rPr>
      <t xml:space="preserve">사업보고서 </t>
    </r>
    <r>
      <rPr>
        <sz val="11"/>
        <color theme="1"/>
        <rFont val="Calibri"/>
        <family val="2"/>
        <charset val="1"/>
      </rPr>
      <t xml:space="preserve">(2026.02)</t>
    </r>
  </si>
  <si>
    <t xml:space="preserve">20260528</t>
  </si>
  <si>
    <t xml:space="preserve">환인제약</t>
  </si>
  <si>
    <t xml:space="preserve">016580</t>
  </si>
  <si>
    <t xml:space="preserve">00166573</t>
  </si>
  <si>
    <t xml:space="preserve">의약품 제조업</t>
  </si>
  <si>
    <t xml:space="preserve">20260312</t>
  </si>
  <si>
    <t xml:space="preserve">만호제강</t>
  </si>
  <si>
    <t xml:space="preserve">001080</t>
  </si>
  <si>
    <t xml:space="preserve">00120872</t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</si>
  <si>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나눔고딕"/>
        <family val="2"/>
      </rPr>
      <t xml:space="preserve">기재정정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나눔고딕"/>
        <family val="2"/>
      </rPr>
      <t xml:space="preserve">사업보고서 </t>
    </r>
    <r>
      <rPr>
        <sz val="11"/>
        <color theme="1"/>
        <rFont val="Calibri"/>
        <family val="2"/>
        <charset val="1"/>
      </rPr>
      <t xml:space="preserve">(2024.06)</t>
    </r>
  </si>
  <si>
    <t xml:space="preserve">20250930</t>
  </si>
  <si>
    <r>
      <rPr>
        <sz val="11"/>
        <color theme="1"/>
        <rFont val="Calibri"/>
        <family val="2"/>
        <charset val="1"/>
      </rPr>
      <t xml:space="preserve">SP</t>
    </r>
    <r>
      <rPr>
        <sz val="11"/>
        <color theme="1"/>
        <rFont val="나눔고딕"/>
        <family val="2"/>
      </rPr>
      <t xml:space="preserve">삼화</t>
    </r>
  </si>
  <si>
    <t xml:space="preserve">000390</t>
  </si>
  <si>
    <t xml:space="preserve">00129387</t>
  </si>
  <si>
    <t xml:space="preserve">기타 화학제품 제조업</t>
  </si>
  <si>
    <t xml:space="preserve">극동유화</t>
  </si>
  <si>
    <t xml:space="preserve">014530</t>
  </si>
  <si>
    <t xml:space="preserve">00105156</t>
  </si>
  <si>
    <t xml:space="preserve">석유 정제품 제조업</t>
  </si>
  <si>
    <t xml:space="preserve">디에스케이</t>
  </si>
  <si>
    <t xml:space="preserve">109740</t>
  </si>
  <si>
    <t xml:space="preserve">00530121</t>
  </si>
  <si>
    <t xml:space="preserve">두올</t>
  </si>
  <si>
    <t xml:space="preserve">016740</t>
  </si>
  <si>
    <t xml:space="preserve">00119672</t>
  </si>
  <si>
    <t xml:space="preserve">자동차 신품 부품 제조업</t>
  </si>
  <si>
    <t xml:space="preserve">인지컨트롤스</t>
  </si>
  <si>
    <t xml:space="preserve">023800</t>
  </si>
  <si>
    <t xml:space="preserve">00103510</t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</si>
  <si>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나눔고딕"/>
        <family val="2"/>
      </rPr>
      <t xml:space="preserve">기재정정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나눔고딕"/>
        <family val="2"/>
      </rPr>
      <t xml:space="preserve">사업보고서 </t>
    </r>
    <r>
      <rPr>
        <sz val="11"/>
        <color theme="1"/>
        <rFont val="Calibri"/>
        <family val="2"/>
        <charset val="1"/>
      </rPr>
      <t xml:space="preserve">(2025.12)</t>
    </r>
  </si>
  <si>
    <t xml:space="preserve">동방아그로</t>
  </si>
  <si>
    <t xml:space="preserve">007590</t>
  </si>
  <si>
    <t xml:space="preserve">00115384</t>
  </si>
  <si>
    <r>
      <rPr>
        <sz val="11"/>
        <color theme="1"/>
        <rFont val="나눔고딕"/>
        <family val="2"/>
      </rPr>
      <t xml:space="preserve">비료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농약 및 살균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살충제 제조업</t>
    </r>
  </si>
  <si>
    <t xml:space="preserve">제일테크노스</t>
  </si>
  <si>
    <t xml:space="preserve">038010</t>
  </si>
  <si>
    <t xml:space="preserve">00148595</t>
  </si>
  <si>
    <r>
      <rPr>
        <sz val="11"/>
        <color theme="1"/>
        <rFont val="나눔고딕"/>
        <family val="2"/>
      </rPr>
      <t xml:space="preserve">구조용 금속제품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탱크 및 증기발생기 제조업</t>
    </r>
  </si>
  <si>
    <t xml:space="preserve">20260320</t>
  </si>
  <si>
    <t xml:space="preserve">그린생명과학</t>
  </si>
  <si>
    <t xml:space="preserve">114450</t>
  </si>
  <si>
    <t xml:space="preserve">00532059</t>
  </si>
  <si>
    <t xml:space="preserve">기초 의약물질 제조업</t>
  </si>
  <si>
    <t xml:space="preserve">유니켐</t>
  </si>
  <si>
    <t xml:space="preserve">011330</t>
  </si>
  <si>
    <t xml:space="preserve">00137207</t>
  </si>
  <si>
    <t xml:space="preserve">20260325</t>
  </si>
  <si>
    <t xml:space="preserve">경인전자</t>
  </si>
  <si>
    <t xml:space="preserve">009140</t>
  </si>
  <si>
    <t xml:space="preserve">00102140</t>
  </si>
  <si>
    <t xml:space="preserve">전자부품 제조업</t>
  </si>
  <si>
    <t xml:space="preserve">대동스틸</t>
  </si>
  <si>
    <t xml:space="preserve">048470</t>
  </si>
  <si>
    <t xml:space="preserve">00109268</t>
  </si>
  <si>
    <t xml:space="preserve">기타 전문 도매업</t>
  </si>
  <si>
    <t xml:space="preserve">제놀루션</t>
  </si>
  <si>
    <t xml:space="preserve">225220</t>
  </si>
  <si>
    <t xml:space="preserve">01062177</t>
  </si>
  <si>
    <t xml:space="preserve">남성</t>
  </si>
  <si>
    <t xml:space="preserve">004270</t>
  </si>
  <si>
    <t xml:space="preserve">00172185</t>
  </si>
  <si>
    <r>
      <rPr>
        <sz val="11"/>
        <color theme="1"/>
        <rFont val="Calibri"/>
        <family val="2"/>
        <charset val="1"/>
      </rPr>
      <t xml:space="preserve">CSA </t>
    </r>
    <r>
      <rPr>
        <sz val="11"/>
        <color theme="1"/>
        <rFont val="나눔고딕"/>
        <family val="2"/>
      </rPr>
      <t xml:space="preserve">코스믹</t>
    </r>
  </si>
  <si>
    <t xml:space="preserve">083660</t>
  </si>
  <si>
    <t xml:space="preserve">00406037</t>
  </si>
  <si>
    <t xml:space="preserve">20260324</t>
  </si>
  <si>
    <t xml:space="preserve">토박스코리아</t>
  </si>
  <si>
    <t xml:space="preserve">215480</t>
  </si>
  <si>
    <t xml:space="preserve">01064069</t>
  </si>
  <si>
    <r>
      <rPr>
        <sz val="11"/>
        <color theme="1"/>
        <rFont val="나눔고딕"/>
        <family val="2"/>
      </rPr>
      <t xml:space="preserve">섬유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의복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신발 및 가죽제품 소매업</t>
    </r>
  </si>
  <si>
    <t xml:space="preserve">졸스</t>
  </si>
  <si>
    <t xml:space="preserve">018700</t>
  </si>
  <si>
    <t xml:space="preserve">00122205</t>
  </si>
  <si>
    <t xml:space="preserve">생활용품 도매업</t>
  </si>
  <si>
    <t xml:space="preserve">20260630</t>
  </si>
  <si>
    <t xml:space="preserve">삼성전자</t>
  </si>
  <si>
    <t xml:space="preserve">005930</t>
  </si>
  <si>
    <t xml:space="preserve">00126380</t>
  </si>
  <si>
    <t xml:space="preserve">통신 및 방송 장비 제조업</t>
  </si>
  <si>
    <t xml:space="preserve">20260310</t>
  </si>
  <si>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나눔고딕"/>
        <family val="2"/>
      </rPr>
      <t xml:space="preserve">하이닉스</t>
    </r>
  </si>
  <si>
    <t xml:space="preserve">000660</t>
  </si>
  <si>
    <t xml:space="preserve">00164779</t>
  </si>
  <si>
    <t xml:space="preserve">20260317</t>
  </si>
  <si>
    <t xml:space="preserve">현대자동차</t>
  </si>
  <si>
    <t xml:space="preserve">005380</t>
  </si>
  <si>
    <t xml:space="preserve">00164742</t>
  </si>
  <si>
    <t xml:space="preserve">자동차용 엔진 및 자동차 제조업</t>
  </si>
  <si>
    <t xml:space="preserve">기아</t>
  </si>
  <si>
    <t xml:space="preserve">000270</t>
  </si>
  <si>
    <t xml:space="preserve">00106641</t>
  </si>
  <si>
    <t xml:space="preserve">두산에너빌리티</t>
  </si>
  <si>
    <t xml:space="preserve">034020</t>
  </si>
  <si>
    <t xml:space="preserve">00159616</t>
  </si>
  <si>
    <t xml:space="preserve">일반 목적용 기계 제조업</t>
  </si>
  <si>
    <t xml:space="preserve">현대모비스</t>
  </si>
  <si>
    <t xml:space="preserve">012330</t>
  </si>
  <si>
    <t xml:space="preserve">00164788</t>
  </si>
  <si>
    <t xml:space="preserve">20260309</t>
  </si>
  <si>
    <t xml:space="preserve">셀트리온</t>
  </si>
  <si>
    <t xml:space="preserve">068270</t>
  </si>
  <si>
    <t xml:space="preserve">00413046</t>
  </si>
  <si>
    <t xml:space="preserve">SK</t>
  </si>
  <si>
    <t xml:space="preserve">034730</t>
  </si>
  <si>
    <t xml:space="preserve">00181712</t>
  </si>
  <si>
    <t xml:space="preserve">기타 금융업</t>
  </si>
  <si>
    <t xml:space="preserve">엘에스일렉트릭</t>
  </si>
  <si>
    <t xml:space="preserve">010120</t>
  </si>
  <si>
    <t xml:space="preserve">00105855</t>
  </si>
  <si>
    <r>
      <rPr>
        <sz val="11"/>
        <color theme="1"/>
        <rFont val="나눔고딕"/>
        <family val="2"/>
      </rPr>
      <t xml:space="preserve">전동기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발전기 및 전기 변환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공급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제어 장치 제조업</t>
    </r>
  </si>
  <si>
    <t xml:space="preserve">한화오션</t>
  </si>
  <si>
    <t xml:space="preserve">042660</t>
  </si>
  <si>
    <t xml:space="preserve">00111704</t>
  </si>
  <si>
    <t xml:space="preserve">선박 및 보트 건조업</t>
  </si>
  <si>
    <t xml:space="preserve">고려아연</t>
  </si>
  <si>
    <t xml:space="preserve">010130</t>
  </si>
  <si>
    <t xml:space="preserve">00102858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</si>
  <si>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차 비철금속 제조업</t>
    </r>
  </si>
  <si>
    <t xml:space="preserve">20260601</t>
  </si>
  <si>
    <t xml:space="preserve">HMM</t>
  </si>
  <si>
    <t xml:space="preserve">011200</t>
  </si>
  <si>
    <t xml:space="preserve">00164645</t>
  </si>
  <si>
    <t xml:space="preserve">해상 운송업</t>
  </si>
  <si>
    <t xml:space="preserve">미래에셋증권</t>
  </si>
  <si>
    <t xml:space="preserve">006800</t>
  </si>
  <si>
    <t xml:space="preserve">00111722</t>
  </si>
  <si>
    <t xml:space="preserve">금융 지원 서비스업</t>
  </si>
  <si>
    <t xml:space="preserve">20260515</t>
  </si>
  <si>
    <t xml:space="preserve">두산</t>
  </si>
  <si>
    <t xml:space="preserve">000150</t>
  </si>
  <si>
    <t xml:space="preserve">00117212</t>
  </si>
  <si>
    <t xml:space="preserve">현대오토에버</t>
  </si>
  <si>
    <t xml:space="preserve">307950</t>
  </si>
  <si>
    <t xml:space="preserve">00362441</t>
  </si>
  <si>
    <t xml:space="preserve">에코프로</t>
  </si>
  <si>
    <t xml:space="preserve">086520</t>
  </si>
  <si>
    <t xml:space="preserve">00536541</t>
  </si>
  <si>
    <t xml:space="preserve">크래프톤</t>
  </si>
  <si>
    <t xml:space="preserve">259960</t>
  </si>
  <si>
    <t xml:space="preserve">00760971</t>
  </si>
  <si>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나눔고딕"/>
        <family val="2"/>
      </rPr>
      <t xml:space="preserve">손해보험</t>
    </r>
  </si>
  <si>
    <t xml:space="preserve">005830</t>
  </si>
  <si>
    <t xml:space="preserve">00159102</t>
  </si>
  <si>
    <t xml:space="preserve">보험업</t>
  </si>
  <si>
    <t xml:space="preserve">20260331</t>
  </si>
  <si>
    <t xml:space="preserve">에코프로비엠</t>
  </si>
  <si>
    <t xml:space="preserve">247540</t>
  </si>
  <si>
    <t xml:space="preserve">01160363</t>
  </si>
  <si>
    <t xml:space="preserve">일차전지 및 이차전지 제조업</t>
  </si>
  <si>
    <t xml:space="preserve">삼양식품</t>
  </si>
  <si>
    <t xml:space="preserve">003230</t>
  </si>
  <si>
    <t xml:space="preserve">00126955</t>
  </si>
  <si>
    <t xml:space="preserve">기타 식품 제조업</t>
  </si>
  <si>
    <t xml:space="preserve">아모레퍼시픽</t>
  </si>
  <si>
    <t xml:space="preserve">090430</t>
  </si>
  <si>
    <t xml:space="preserve">00583424</t>
  </si>
  <si>
    <t xml:space="preserve">하이브</t>
  </si>
  <si>
    <t xml:space="preserve">352820</t>
  </si>
  <si>
    <t xml:space="preserve">01204056</t>
  </si>
  <si>
    <t xml:space="preserve">오디오물 출판 및 원판 녹음업</t>
  </si>
  <si>
    <t xml:space="preserve">키움증권</t>
  </si>
  <si>
    <t xml:space="preserve">039490</t>
  </si>
  <si>
    <t xml:space="preserve">00296290</t>
  </si>
  <si>
    <t xml:space="preserve">두산밥캣</t>
  </si>
  <si>
    <t xml:space="preserve">241560</t>
  </si>
  <si>
    <t xml:space="preserve">01032486</t>
  </si>
  <si>
    <t xml:space="preserve">한화</t>
  </si>
  <si>
    <t xml:space="preserve">000880</t>
  </si>
  <si>
    <t xml:space="preserve">00160588</t>
  </si>
  <si>
    <t xml:space="preserve">한화솔루션</t>
  </si>
  <si>
    <t xml:space="preserve">009830</t>
  </si>
  <si>
    <t xml:space="preserve">00162461</t>
  </si>
  <si>
    <t xml:space="preserve">한미약품</t>
  </si>
  <si>
    <t xml:space="preserve">128940</t>
  </si>
  <si>
    <t xml:space="preserve">00828497</t>
  </si>
  <si>
    <t xml:space="preserve">리가켐바이오</t>
  </si>
  <si>
    <t xml:space="preserve">141080</t>
  </si>
  <si>
    <t xml:space="preserve">00842619</t>
  </si>
  <si>
    <t xml:space="preserve">자연과학 및 공학 연구개발업</t>
  </si>
  <si>
    <t xml:space="preserve">SKC</t>
  </si>
  <si>
    <t xml:space="preserve">011790</t>
  </si>
  <si>
    <t xml:space="preserve">00139889</t>
  </si>
  <si>
    <t xml:space="preserve">20260610</t>
  </si>
  <si>
    <t xml:space="preserve">심텍</t>
  </si>
  <si>
    <t xml:space="preserve">222800</t>
  </si>
  <si>
    <t xml:space="preserve">01095722</t>
  </si>
  <si>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나눔고딕"/>
        <family val="2"/>
      </rPr>
      <t xml:space="preserve">하이텍</t>
    </r>
  </si>
  <si>
    <t xml:space="preserve">000990</t>
  </si>
  <si>
    <t xml:space="preserve">00160843</t>
  </si>
  <si>
    <t xml:space="preserve">삼천당제약</t>
  </si>
  <si>
    <t xml:space="preserve">000250</t>
  </si>
  <si>
    <t xml:space="preserve">00128546</t>
  </si>
  <si>
    <t xml:space="preserve">20260604</t>
  </si>
  <si>
    <t xml:space="preserve">한온시스템</t>
  </si>
  <si>
    <t xml:space="preserve">018880</t>
  </si>
  <si>
    <t xml:space="preserve">00161125</t>
  </si>
  <si>
    <t xml:space="preserve">한화엔진</t>
  </si>
  <si>
    <t xml:space="preserve">082740</t>
  </si>
  <si>
    <t xml:space="preserve">00361008</t>
  </si>
  <si>
    <t xml:space="preserve">휴젤</t>
  </si>
  <si>
    <t xml:space="preserve">145020</t>
  </si>
  <si>
    <t xml:space="preserve">00888347</t>
  </si>
  <si>
    <t xml:space="preserve">현대해상</t>
  </si>
  <si>
    <t xml:space="preserve">001450</t>
  </si>
  <si>
    <t xml:space="preserve">00164973</t>
  </si>
  <si>
    <t xml:space="preserve">엘앤에프</t>
  </si>
  <si>
    <t xml:space="preserve">066970</t>
  </si>
  <si>
    <t xml:space="preserve">00398701</t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</si>
  <si>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나눔고딕"/>
        <family val="2"/>
      </rPr>
      <t xml:space="preserve">첨부정정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나눔고딕"/>
        <family val="2"/>
      </rPr>
      <t xml:space="preserve">사업보고서 </t>
    </r>
    <r>
      <rPr>
        <sz val="11"/>
        <color theme="1"/>
        <rFont val="Calibri"/>
        <family val="2"/>
        <charset val="1"/>
      </rPr>
      <t xml:space="preserve">(2025.12)</t>
    </r>
  </si>
  <si>
    <t xml:space="preserve">20260423</t>
  </si>
  <si>
    <t xml:space="preserve">로보티즈</t>
  </si>
  <si>
    <t xml:space="preserve">108490</t>
  </si>
  <si>
    <t xml:space="preserve">00946030</t>
  </si>
  <si>
    <t xml:space="preserve">20260708</t>
  </si>
  <si>
    <t xml:space="preserve">달바글로벌</t>
  </si>
  <si>
    <t xml:space="preserve">483650</t>
  </si>
  <si>
    <t xml:space="preserve">01649204</t>
  </si>
  <si>
    <t xml:space="preserve">20260407</t>
  </si>
  <si>
    <t xml:space="preserve">한미사이언스</t>
  </si>
  <si>
    <t xml:space="preserve">008930</t>
  </si>
  <si>
    <t xml:space="preserve">00161426</t>
  </si>
  <si>
    <t xml:space="preserve">클래시스</t>
  </si>
  <si>
    <t xml:space="preserve">214150</t>
  </si>
  <si>
    <t xml:space="preserve">01061327</t>
  </si>
  <si>
    <t xml:space="preserve">의료용 기기 제조업</t>
  </si>
  <si>
    <t xml:space="preserve">HPSP</t>
  </si>
  <si>
    <t xml:space="preserve">403870</t>
  </si>
  <si>
    <t xml:space="preserve">01288827</t>
  </si>
  <si>
    <t xml:space="preserve">보로노이</t>
  </si>
  <si>
    <t xml:space="preserve">310210</t>
  </si>
  <si>
    <t xml:space="preserve">01327746</t>
  </si>
  <si>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나눔고딕"/>
        <family val="2"/>
      </rPr>
      <t xml:space="preserve">바이오사이언스</t>
    </r>
  </si>
  <si>
    <t xml:space="preserve">302440</t>
  </si>
  <si>
    <t xml:space="preserve">01319899</t>
  </si>
  <si>
    <t xml:space="preserve">현대무벡스</t>
  </si>
  <si>
    <t xml:space="preserve">319400</t>
  </si>
  <si>
    <t xml:space="preserve">01358463</t>
  </si>
  <si>
    <t xml:space="preserve">동서</t>
  </si>
  <si>
    <t xml:space="preserve">026960</t>
  </si>
  <si>
    <t xml:space="preserve">00144395</t>
  </si>
  <si>
    <r>
      <rPr>
        <sz val="11"/>
        <color theme="1"/>
        <rFont val="나눔고딕"/>
        <family val="2"/>
      </rPr>
      <t xml:space="preserve">음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식료품 및 담배 도매업</t>
    </r>
  </si>
  <si>
    <t xml:space="preserve">테스</t>
  </si>
  <si>
    <t xml:space="preserve">095610</t>
  </si>
  <si>
    <t xml:space="preserve">00524421</t>
  </si>
  <si>
    <t xml:space="preserve">미스토홀딩스</t>
  </si>
  <si>
    <t xml:space="preserve">081660</t>
  </si>
  <si>
    <t xml:space="preserve">00195229</t>
  </si>
  <si>
    <t xml:space="preserve">미래에셋생명</t>
  </si>
  <si>
    <t xml:space="preserve">085620</t>
  </si>
  <si>
    <t xml:space="preserve">00112332</t>
  </si>
  <si>
    <t xml:space="preserve">20260721</t>
  </si>
  <si>
    <t xml:space="preserve">현대백화점</t>
  </si>
  <si>
    <t xml:space="preserve">069960</t>
  </si>
  <si>
    <t xml:space="preserve">00428251</t>
  </si>
  <si>
    <t xml:space="preserve">티에스이</t>
  </si>
  <si>
    <t xml:space="preserve">131290</t>
  </si>
  <si>
    <t xml:space="preserve">00372226</t>
  </si>
  <si>
    <r>
      <rPr>
        <sz val="11"/>
        <color theme="1"/>
        <rFont val="나눔고딕"/>
        <family val="2"/>
      </rPr>
      <t xml:space="preserve">측정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시험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항해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제어 및 기타 정밀기기 제조업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나눔고딕"/>
        <family val="2"/>
      </rPr>
      <t xml:space="preserve">광학기기 제외</t>
    </r>
  </si>
  <si>
    <t xml:space="preserve">서진시스템</t>
  </si>
  <si>
    <t xml:space="preserve">178320</t>
  </si>
  <si>
    <t xml:space="preserve">00838005</t>
  </si>
  <si>
    <t xml:space="preserve">기타 전기장비 제조업</t>
  </si>
  <si>
    <t xml:space="preserve">이마트</t>
  </si>
  <si>
    <t xml:space="preserve">139480</t>
  </si>
  <si>
    <t xml:space="preserve">00872984</t>
  </si>
  <si>
    <t xml:space="preserve">펄어비스</t>
  </si>
  <si>
    <t xml:space="preserve">263750</t>
  </si>
  <si>
    <t xml:space="preserve">01152470</t>
  </si>
  <si>
    <t xml:space="preserve">현대지에프홀딩스</t>
  </si>
  <si>
    <t xml:space="preserve">005440</t>
  </si>
  <si>
    <t xml:space="preserve">00105280</t>
  </si>
  <si>
    <t xml:space="preserve">고영</t>
  </si>
  <si>
    <t xml:space="preserve">098460</t>
  </si>
  <si>
    <t xml:space="preserve">00579999</t>
  </si>
  <si>
    <t xml:space="preserve">아모레퍼시픽홀딩스</t>
  </si>
  <si>
    <t xml:space="preserve">002790</t>
  </si>
  <si>
    <t xml:space="preserve">00154462</t>
  </si>
  <si>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나눔고딕"/>
        <family val="2"/>
      </rPr>
      <t xml:space="preserve">가스</t>
    </r>
  </si>
  <si>
    <t xml:space="preserve">018670</t>
  </si>
  <si>
    <t xml:space="preserve">00144164</t>
  </si>
  <si>
    <t xml:space="preserve">이수스페셜티케미컬</t>
  </si>
  <si>
    <t xml:space="preserve">457190</t>
  </si>
  <si>
    <t xml:space="preserve">01762569</t>
  </si>
  <si>
    <t xml:space="preserve">씨에스윈드</t>
  </si>
  <si>
    <t xml:space="preserve">112610</t>
  </si>
  <si>
    <t xml:space="preserve">00670340</t>
  </si>
  <si>
    <t xml:space="preserve">테크윙</t>
  </si>
  <si>
    <t xml:space="preserve">089030</t>
  </si>
  <si>
    <t xml:space="preserve">00535676</t>
  </si>
  <si>
    <t xml:space="preserve">20260623</t>
  </si>
  <si>
    <t xml:space="preserve">엘앤씨바이오</t>
  </si>
  <si>
    <t xml:space="preserve">290650</t>
  </si>
  <si>
    <t xml:space="preserve">01181515</t>
  </si>
  <si>
    <t xml:space="preserve">브이엠</t>
  </si>
  <si>
    <t xml:space="preserve">089970</t>
  </si>
  <si>
    <t xml:space="preserve">00544577</t>
  </si>
  <si>
    <t xml:space="preserve">호텔신라</t>
  </si>
  <si>
    <t xml:space="preserve">008770</t>
  </si>
  <si>
    <t xml:space="preserve">00165680</t>
  </si>
  <si>
    <t xml:space="preserve">기타 상품 전문 소매업</t>
  </si>
  <si>
    <t xml:space="preserve">20260311</t>
  </si>
  <si>
    <r>
      <rPr>
        <sz val="11"/>
        <color theme="1"/>
        <rFont val="Calibri"/>
        <family val="2"/>
        <charset val="1"/>
      </rPr>
      <t xml:space="preserve">LS</t>
    </r>
    <r>
      <rPr>
        <sz val="11"/>
        <color theme="1"/>
        <rFont val="나눔고딕"/>
        <family val="2"/>
      </rPr>
      <t xml:space="preserve">마린솔루션</t>
    </r>
  </si>
  <si>
    <t xml:space="preserve">060370</t>
  </si>
  <si>
    <t xml:space="preserve">00225742</t>
  </si>
  <si>
    <t xml:space="preserve">전기 및 통신 공사업</t>
  </si>
  <si>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나눔고딕"/>
        <family val="2"/>
      </rPr>
      <t xml:space="preserve">네트웍스</t>
    </r>
  </si>
  <si>
    <t xml:space="preserve">001740</t>
  </si>
  <si>
    <t xml:space="preserve">00131780</t>
  </si>
  <si>
    <t xml:space="preserve">씨젠</t>
  </si>
  <si>
    <t xml:space="preserve">096530</t>
  </si>
  <si>
    <t xml:space="preserve">00788773</t>
  </si>
  <si>
    <t xml:space="preserve">의료용품 및 기타 의약 관련제품 제조업</t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</si>
  <si>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나눔고딕"/>
        <family val="2"/>
      </rPr>
      <t xml:space="preserve">기재정정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나눔고딕"/>
        <family val="2"/>
      </rPr>
      <t xml:space="preserve">사업보고서 </t>
    </r>
    <r>
      <rPr>
        <sz val="11"/>
        <color theme="1"/>
        <rFont val="Calibri"/>
        <family val="2"/>
        <charset val="1"/>
      </rPr>
      <t xml:space="preserve">(2024.12)</t>
    </r>
  </si>
  <si>
    <r>
      <rPr>
        <sz val="11"/>
        <color theme="1"/>
        <rFont val="Calibri"/>
        <family val="2"/>
        <charset val="1"/>
      </rPr>
      <t xml:space="preserve">IPARK</t>
    </r>
    <r>
      <rPr>
        <sz val="11"/>
        <color theme="1"/>
        <rFont val="나눔고딕"/>
        <family val="2"/>
      </rPr>
      <t xml:space="preserve">현대산업개발</t>
    </r>
  </si>
  <si>
    <t xml:space="preserve">294870</t>
  </si>
  <si>
    <t xml:space="preserve">01310269</t>
  </si>
  <si>
    <t xml:space="preserve">건물 건설업</t>
  </si>
  <si>
    <t xml:space="preserve">NHN</t>
  </si>
  <si>
    <t xml:space="preserve">181710</t>
  </si>
  <si>
    <t xml:space="preserve">00983271</t>
  </si>
  <si>
    <r>
      <rPr>
        <sz val="11"/>
        <color theme="1"/>
        <rFont val="Calibri"/>
        <family val="2"/>
        <charset val="1"/>
      </rPr>
      <t xml:space="preserve">LS</t>
    </r>
    <r>
      <rPr>
        <sz val="11"/>
        <color theme="1"/>
        <rFont val="나눔고딕"/>
        <family val="2"/>
      </rPr>
      <t xml:space="preserve">에코에너지</t>
    </r>
  </si>
  <si>
    <t xml:space="preserve">229640</t>
  </si>
  <si>
    <t xml:space="preserve">01093007</t>
  </si>
  <si>
    <t xml:space="preserve">대주전자재료</t>
  </si>
  <si>
    <t xml:space="preserve">078600</t>
  </si>
  <si>
    <t xml:space="preserve">00177816</t>
  </si>
  <si>
    <t xml:space="preserve">오스코텍</t>
  </si>
  <si>
    <t xml:space="preserve">039200</t>
  </si>
  <si>
    <t xml:space="preserve">00263654</t>
  </si>
  <si>
    <t xml:space="preserve">더블유게임즈</t>
  </si>
  <si>
    <t xml:space="preserve">192080</t>
  </si>
  <si>
    <t xml:space="preserve">01010110</t>
  </si>
  <si>
    <t xml:space="preserve">20260724</t>
  </si>
  <si>
    <t xml:space="preserve">금융상품 운용 — 영업 대상</t>
  </si>
  <si>
    <r>
      <rPr>
        <sz val="9"/>
        <color rgb="FF6B7280"/>
        <rFont val="나눔고딕"/>
        <family val="2"/>
      </rPr>
      <t xml:space="preserve">저수익 예치자금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운용상품 유치 영업 </t>
    </r>
    <r>
      <rPr>
        <sz val="9"/>
        <color rgb="FF6B7280"/>
        <rFont val="Cambria"/>
        <family val="0"/>
        <charset val="1"/>
      </rPr>
      <t xml:space="preserve">· 80/100</t>
    </r>
    <r>
      <rPr>
        <sz val="9"/>
        <color rgb="FF6B7280"/>
        <rFont val="나눔고딕"/>
        <family val="2"/>
      </rPr>
      <t xml:space="preserve">개사 해당 </t>
    </r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시간 열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자금 성격</t>
    </r>
  </si>
  <si>
    <t xml:space="preserve">왜 대상인가</t>
  </si>
  <si>
    <t xml:space="preserve">상세 근거</t>
  </si>
  <si>
    <r>
      <rPr>
        <b val="true"/>
        <sz val="10"/>
        <color rgb="FFFFFFFF"/>
        <rFont val="나눔고딕"/>
        <family val="2"/>
      </rPr>
      <t xml:space="preserve">영업 규모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억원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</si>
  <si>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표시 금액</t>
  </si>
  <si>
    <t xml:space="preserve">영업 상황</t>
  </si>
  <si>
    <t xml:space="preserve">기준 날짜</t>
  </si>
  <si>
    <t xml:space="preserve">시간 표기</t>
  </si>
  <si>
    <t xml:space="preserve">제안 방향</t>
  </si>
  <si>
    <t xml:space="preserve">접수번호</t>
  </si>
  <si>
    <t xml:space="preserve">원문 링크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</si>
  <si>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75.7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</si>
  <si>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74.0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22.1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</si>
  <si>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Calibri"/>
        <family val="2"/>
        <charset val="1"/>
      </rPr>
      <t xml:space="preserve">75.7</t>
    </r>
    <r>
      <rPr>
        <sz val="11"/>
        <color theme="1"/>
        <rFont val="나눔고딕"/>
        <family val="2"/>
      </rPr>
      <t xml:space="preserve">조원</t>
    </r>
  </si>
  <si>
    <t xml:space="preserve">예치자금 편중</t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</si>
  <si>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74.0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</si>
  <si>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2025-12-31</t>
  </si>
  <si>
    <t xml:space="preserve">20260310002820</t>
  </si>
  <si>
    <t xml:space="preserve">https://dart.fss.or.kr/dsaf001/main.do?rcpNo=20260310002820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</si>
  <si>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</si>
  <si>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20.1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1.3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</si>
  <si>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나눔고딕"/>
        <family val="2"/>
      </rPr>
      <t xml:space="preserve">조원</t>
    </r>
  </si>
  <si>
    <t xml:space="preserve">운용상품 보유</t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</si>
  <si>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20.1</t>
    </r>
    <r>
      <rPr>
        <sz val="11"/>
        <color theme="1"/>
        <rFont val="나눔고딕"/>
        <family val="2"/>
      </rPr>
      <t xml:space="preserve">조원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</si>
  <si>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20260317000635</t>
  </si>
  <si>
    <t xml:space="preserve">https://dart.fss.or.kr/dsaf001/main.do?rcpNo=20260317000635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</si>
  <si>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12.4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</si>
  <si>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8.8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6.1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</si>
  <si>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Calibri"/>
        <family val="2"/>
        <charset val="1"/>
      </rPr>
      <t xml:space="preserve">12.4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</si>
  <si>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8.8</t>
    </r>
    <r>
      <rPr>
        <sz val="11"/>
        <color theme="1"/>
        <rFont val="나눔고딕"/>
        <family val="2"/>
      </rPr>
      <t xml:space="preserve">조원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</si>
  <si>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20260318001157</t>
  </si>
  <si>
    <t xml:space="preserve">https://dart.fss.or.kr/dsaf001/main.do?rcpNo=20260318001157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</si>
  <si>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</si>
  <si>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10.9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6,696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6,132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</si>
  <si>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</si>
  <si>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10.9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</si>
  <si>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20260318001444</t>
  </si>
  <si>
    <t xml:space="preserve">https://dart.fss.or.kr/dsaf001/main.do?rcpNo=20260318001444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</si>
  <si>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9.4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</si>
  <si>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4.2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</si>
  <si>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Calibri"/>
        <family val="2"/>
        <charset val="1"/>
      </rPr>
      <t xml:space="preserve">9.4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</si>
  <si>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</si>
  <si>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20260318001394</t>
  </si>
  <si>
    <t xml:space="preserve">https://dart.fss.or.kr/dsaf001/main.do?rcpNo=20260318001394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</si>
  <si>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8.4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</si>
  <si>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8.0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3,854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7,247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</si>
  <si>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8.4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</si>
  <si>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8.0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</si>
  <si>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20260312001224</t>
  </si>
  <si>
    <t xml:space="preserve">https://dart.fss.or.kr/dsaf001/main.do?rcpNo=20260312001224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</si>
  <si>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</si>
  <si>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1,497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</si>
  <si>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</si>
  <si>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</si>
  <si>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20260309001878</t>
  </si>
  <si>
    <t xml:space="preserve">https://dart.fss.or.kr/dsaf001/main.do?rcpNo=20260309001878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</si>
  <si>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</si>
  <si>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3,040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1,972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</si>
  <si>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</si>
  <si>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나눔고딕"/>
        <family val="2"/>
      </rPr>
      <t xml:space="preserve">조원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</si>
  <si>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20260515002689</t>
  </si>
  <si>
    <t xml:space="preserve">https://dart.fss.or.kr/dsaf001/main.do?rcpNo=20260515002689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</si>
  <si>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</si>
  <si>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3,947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1,879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</si>
  <si>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</si>
  <si>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</si>
  <si>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20260318001422</t>
  </si>
  <si>
    <t xml:space="preserve">https://dart.fss.or.kr/dsaf001/main.do?rcpNo=20260318001422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</si>
  <si>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2.1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</si>
  <si>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8,280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2.0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</si>
  <si>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Calibri"/>
        <family val="2"/>
        <charset val="1"/>
      </rPr>
      <t xml:space="preserve">2.1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</si>
  <si>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나눔고딕"/>
        <family val="2"/>
      </rPr>
      <t xml:space="preserve">조원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</si>
  <si>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20260318001024</t>
  </si>
  <si>
    <t xml:space="preserve">https://dart.fss.or.kr/dsaf001/main.do?rcpNo=20260318001024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</si>
  <si>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</si>
  <si>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6,855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776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</si>
  <si>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</si>
  <si>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</si>
  <si>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20260325001401</t>
  </si>
  <si>
    <t xml:space="preserve">https://dart.fss.or.kr/dsaf001/main.do?rcpNo=20260325001401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</si>
  <si>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</si>
  <si>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8,008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7,217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146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</si>
  <si>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나눔고딕"/>
        <family val="2"/>
      </rPr>
      <t xml:space="preserve">조원</t>
    </r>
  </si>
  <si>
    <t xml:space="preserve">운용 여력</t>
  </si>
  <si>
    <r>
      <rPr>
        <sz val="11"/>
        <color theme="1"/>
        <rFont val="나눔고딕"/>
        <family val="2"/>
      </rPr>
      <t xml:space="preserve">여유자금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유동성 상품 제안</t>
    </r>
  </si>
  <si>
    <t xml:space="preserve">20260313000936</t>
  </si>
  <si>
    <t xml:space="preserve">https://dart.fss.or.kr/dsaf001/main.do?rcpNo=20260313000936</t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</si>
  <si>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1,494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4,543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</si>
  <si>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나눔고딕"/>
        <family val="2"/>
      </rPr>
      <t xml:space="preserve">조원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</si>
  <si>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20260601001725</t>
  </si>
  <si>
    <t xml:space="preserve">https://dart.fss.or.kr/dsaf001/main.do?rcpNo=20260601001725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</si>
  <si>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</si>
  <si>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570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3,031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</si>
  <si>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</si>
  <si>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</si>
  <si>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20260320000802</t>
  </si>
  <si>
    <t xml:space="preserve">https://dart.fss.or.kr/dsaf001/main.do?rcpNo=20260320000802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</si>
  <si>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 보유</t>
    </r>
  </si>
  <si>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1,074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</si>
  <si>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</t>
    </r>
  </si>
  <si>
    <t xml:space="preserve">20260318000825</t>
  </si>
  <si>
    <t xml:space="preserve">https://dart.fss.or.kr/dsaf001/main.do?rcpNo=20260318000825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</si>
  <si>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9,529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</si>
  <si>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2,127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7,402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1,123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</si>
  <si>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9,529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</si>
  <si>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7,402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</si>
  <si>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20260323000945</t>
  </si>
  <si>
    <t xml:space="preserve">https://dart.fss.or.kr/dsaf001/main.do?rcpNo=20260323000945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</si>
  <si>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7,518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</si>
  <si>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1,339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6,180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516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</si>
  <si>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7,518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</si>
  <si>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6,180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</si>
  <si>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20260601001661</t>
  </si>
  <si>
    <t xml:space="preserve">https://dart.fss.or.kr/dsaf001/main.do?rcpNo=20260601001661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</si>
  <si>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6,212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</si>
  <si>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6,212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</si>
  <si>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6,212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</si>
  <si>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6,212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</si>
  <si>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20260312000207</t>
  </si>
  <si>
    <t xml:space="preserve">https://dart.fss.or.kr/dsaf001/main.do?rcpNo=20260312000207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</si>
  <si>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6,084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</si>
  <si>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1,388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4,696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</si>
  <si>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6,084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</si>
  <si>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4,696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</si>
  <si>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20260318000785</t>
  </si>
  <si>
    <t xml:space="preserve">https://dart.fss.or.kr/dsaf001/main.do?rcpNo=20260318000785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</si>
  <si>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5,921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</si>
  <si>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1,316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4,606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1,016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</si>
  <si>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5,921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</si>
  <si>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4,606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</si>
  <si>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20260320001246</t>
  </si>
  <si>
    <t xml:space="preserve">https://dart.fss.or.kr/dsaf001/main.do?rcpNo=20260320001246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</si>
  <si>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5,347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</si>
  <si>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1,097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875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</si>
  <si>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5,347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</si>
  <si>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</si>
  <si>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20260318001112</t>
  </si>
  <si>
    <t xml:space="preserve">https://dart.fss.or.kr/dsaf001/main.do?rcpNo=20260318001112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</si>
  <si>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5,139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</si>
  <si>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2,342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2,110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</si>
  <si>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5,139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</si>
  <si>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여유자금 </t>
    </r>
    <r>
      <rPr>
        <sz val="11"/>
        <color theme="1"/>
        <rFont val="Calibri"/>
        <family val="2"/>
        <charset val="1"/>
      </rPr>
      <t xml:space="preserve">5,139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유동성 상품 제안</t>
    </r>
  </si>
  <si>
    <t xml:space="preserve">20260320000815</t>
  </si>
  <si>
    <t xml:space="preserve">https://dart.fss.or.kr/dsaf001/main.do?rcpNo=20260320000815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</si>
  <si>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3,993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</si>
  <si>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3,944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258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</si>
  <si>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3,993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</si>
  <si>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3,944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</si>
  <si>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20260323001538</t>
  </si>
  <si>
    <t xml:space="preserve">https://dart.fss.or.kr/dsaf001/main.do?rcpNo=20260323001538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</si>
  <si>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3,283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</si>
  <si>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3,283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</si>
  <si>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3,283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</si>
  <si>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3,283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</si>
  <si>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20260320000349</t>
  </si>
  <si>
    <t xml:space="preserve">https://dart.fss.or.kr/dsaf001/main.do?rcpNo=20260320000349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</si>
  <si>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3,131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</si>
  <si>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3,131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258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</si>
  <si>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3,131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</si>
  <si>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3,131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</si>
  <si>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20260319000853</t>
  </si>
  <si>
    <t xml:space="preserve">https://dart.fss.or.kr/dsaf001/main.do?rcpNo=20260319000853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</si>
  <si>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2,992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</si>
  <si>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2,992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</si>
  <si>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2,992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</si>
  <si>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2,992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</si>
  <si>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20260311004398</t>
  </si>
  <si>
    <t xml:space="preserve">https://dart.fss.or.kr/dsaf001/main.do?rcpNo=20260311004398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</si>
  <si>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2,744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</si>
  <si>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2,744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</si>
  <si>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2,744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</si>
  <si>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2,744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</si>
  <si>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20260724000595</t>
  </si>
  <si>
    <t xml:space="preserve">https://dart.fss.or.kr/dsaf001/main.do?rcpNo=20260724000595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</si>
  <si>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2,683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</si>
  <si>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2,623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165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</si>
  <si>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2,683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</si>
  <si>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2,623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</si>
  <si>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20260610000521</t>
  </si>
  <si>
    <t xml:space="preserve">https://dart.fss.or.kr/dsaf001/main.do?rcpNo=20260610000521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</si>
  <si>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2,304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</si>
  <si>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1,141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1,163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</si>
  <si>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2,304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</si>
  <si>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1,163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</si>
  <si>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20260318001249</t>
  </si>
  <si>
    <t xml:space="preserve">https://dart.fss.or.kr/dsaf001/main.do?rcpNo=20260318001249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</si>
  <si>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2,274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</si>
  <si>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1,614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660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30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</si>
  <si>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2,274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</si>
  <si>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1,614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</si>
  <si>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20260708000478</t>
  </si>
  <si>
    <t xml:space="preserve">https://dart.fss.or.kr/dsaf001/main.do?rcpNo=20260708000478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</si>
  <si>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2,187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</si>
  <si>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2,187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</si>
  <si>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2,187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</si>
  <si>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2,187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</si>
  <si>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20260319001336</t>
  </si>
  <si>
    <t xml:space="preserve">https://dart.fss.or.kr/dsaf001/main.do?rcpNo=20260319001336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</si>
  <si>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2,182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</si>
  <si>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2,070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112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46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</si>
  <si>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2,182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</si>
  <si>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2,070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</si>
  <si>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20260320001130</t>
  </si>
  <si>
    <t xml:space="preserve">https://dart.fss.or.kr/dsaf001/main.do?rcpNo=20260320001130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</si>
  <si>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1,805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</si>
  <si>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1,696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</si>
  <si>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1,805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</si>
  <si>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1,696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</si>
  <si>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20260323001541</t>
  </si>
  <si>
    <t xml:space="preserve">https://dart.fss.or.kr/dsaf001/main.do?rcpNo=20260323001541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</si>
  <si>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1,777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</si>
  <si>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1,061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716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88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</si>
  <si>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1,777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</si>
  <si>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여유자금 </t>
    </r>
    <r>
      <rPr>
        <sz val="11"/>
        <color theme="1"/>
        <rFont val="Calibri"/>
        <family val="2"/>
        <charset val="1"/>
      </rPr>
      <t xml:space="preserve">1,777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유동성 상품 제안</t>
    </r>
  </si>
  <si>
    <t xml:space="preserve">20260313000585</t>
  </si>
  <si>
    <t xml:space="preserve">https://dart.fss.or.kr/dsaf001/main.do?rcpNo=20260313000585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</si>
  <si>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1,693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</si>
  <si>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1,203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490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124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</si>
  <si>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1,693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</si>
  <si>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1,203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</si>
  <si>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20260316001415</t>
  </si>
  <si>
    <t xml:space="preserve">https://dart.fss.or.kr/dsaf001/main.do?rcpNo=20260316001415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</si>
  <si>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1,351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</si>
  <si>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1,340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</si>
  <si>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1,351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</si>
  <si>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1,340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</si>
  <si>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20260318000939</t>
  </si>
  <si>
    <t xml:space="preserve">https://dart.fss.or.kr/dsaf001/main.do?rcpNo=20260318000939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</si>
  <si>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</si>
  <si>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</si>
  <si>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</si>
  <si>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</si>
  <si>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20260312000804</t>
  </si>
  <si>
    <t xml:space="preserve">https://dart.fss.or.kr/dsaf001/main.do?rcpNo=20260312000804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</si>
  <si>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1,049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</si>
  <si>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460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57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</si>
  <si>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1,049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</si>
  <si>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</si>
  <si>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20260318001424</t>
  </si>
  <si>
    <t xml:space="preserve">https://dart.fss.or.kr/dsaf001/main.do?rcpNo=20260318001424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</si>
  <si>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936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</si>
  <si>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936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</si>
  <si>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936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</si>
  <si>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936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</si>
  <si>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20260313000818</t>
  </si>
  <si>
    <t xml:space="preserve">https://dart.fss.or.kr/dsaf001/main.do?rcpNo=20260313000818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</si>
  <si>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904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</si>
  <si>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346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49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</si>
  <si>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904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</si>
  <si>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</si>
  <si>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20260318001082</t>
  </si>
  <si>
    <t xml:space="preserve">https://dart.fss.or.kr/dsaf001/main.do?rcpNo=20260318001082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</si>
  <si>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763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</si>
  <si>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606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245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</si>
  <si>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763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</si>
  <si>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606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</si>
  <si>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20260318001110</t>
  </si>
  <si>
    <t xml:space="preserve">https://dart.fss.or.kr/dsaf001/main.do?rcpNo=20260318001110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</si>
  <si>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695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</si>
  <si>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695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</si>
  <si>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695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</si>
  <si>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695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</si>
  <si>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20260324000006</t>
  </si>
  <si>
    <t xml:space="preserve">https://dart.fss.or.kr/dsaf001/main.do?rcpNo=20260324000006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</si>
  <si>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691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</si>
  <si>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666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</si>
  <si>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691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</si>
  <si>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666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</si>
  <si>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20260623000173</t>
  </si>
  <si>
    <t xml:space="preserve">https://dart.fss.or.kr/dsaf001/main.do?rcpNo=20260623000173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</si>
  <si>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634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</si>
  <si>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610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</si>
  <si>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634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</si>
  <si>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610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</si>
  <si>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20260318001314</t>
  </si>
  <si>
    <t xml:space="preserve">https://dart.fss.or.kr/dsaf001/main.do?rcpNo=20260318001314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</si>
  <si>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605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</si>
  <si>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414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</si>
  <si>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605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</si>
  <si>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414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</si>
  <si>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20260325000515</t>
  </si>
  <si>
    <t xml:space="preserve">https://dart.fss.or.kr/dsaf001/main.do?rcpNo=20260325000515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</si>
  <si>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562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</si>
  <si>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135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427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1,448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</si>
  <si>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562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</si>
  <si>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427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</si>
  <si>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20260317000644</t>
  </si>
  <si>
    <t xml:space="preserve">https://dart.fss.or.kr/dsaf001/main.do?rcpNo=20260317000644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</si>
  <si>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</si>
  <si>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</si>
  <si>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</si>
  <si>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</si>
  <si>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20260320000892</t>
  </si>
  <si>
    <t xml:space="preserve">https://dart.fss.or.kr/dsaf001/main.do?rcpNo=20260320000892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</si>
  <si>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444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</si>
  <si>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57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</si>
  <si>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444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</si>
  <si>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</si>
  <si>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20260318000916</t>
  </si>
  <si>
    <t xml:space="preserve">https://dart.fss.or.kr/dsaf001/main.do?rcpNo=20260318000916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</si>
  <si>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443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</si>
  <si>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271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</si>
  <si>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443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</si>
  <si>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271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</si>
  <si>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20260318001622</t>
  </si>
  <si>
    <t xml:space="preserve">https://dart.fss.or.kr/dsaf001/main.do?rcpNo=20260318001622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</si>
  <si>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429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</si>
  <si>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142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288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113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</si>
  <si>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429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</si>
  <si>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288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</si>
  <si>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20260602000573</t>
  </si>
  <si>
    <t xml:space="preserve">https://dart.fss.or.kr/dsaf001/main.do?rcpNo=20260602000573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</si>
  <si>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</si>
  <si>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</si>
  <si>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</si>
  <si>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</si>
  <si>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20260320001336</t>
  </si>
  <si>
    <t xml:space="preserve">https://dart.fss.or.kr/dsaf001/main.do?rcpNo=20260320001336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</si>
  <si>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292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</si>
  <si>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291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</si>
  <si>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292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</si>
  <si>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291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</si>
  <si>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20260407001978</t>
  </si>
  <si>
    <t xml:space="preserve">https://dart.fss.or.kr/dsaf001/main.do?rcpNo=20260407001978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</si>
  <si>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279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</si>
  <si>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279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</si>
  <si>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279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</si>
  <si>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279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</si>
  <si>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20260312001118</t>
  </si>
  <si>
    <t xml:space="preserve">https://dart.fss.or.kr/dsaf001/main.do?rcpNo=20260312001118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</si>
  <si>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</si>
  <si>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163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</si>
  <si>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</si>
  <si>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163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</si>
  <si>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20260318001359</t>
  </si>
  <si>
    <t xml:space="preserve">https://dart.fss.or.kr/dsaf001/main.do?rcpNo=20260318001359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</si>
  <si>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219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</si>
  <si>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</si>
  <si>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219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</si>
  <si>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</si>
  <si>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20260319000750</t>
  </si>
  <si>
    <t xml:space="preserve">https://dart.fss.or.kr/dsaf001/main.do?rcpNo=20260319000750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</si>
  <si>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179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</si>
  <si>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117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62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</si>
  <si>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179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</si>
  <si>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117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</si>
  <si>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20260318000738</t>
  </si>
  <si>
    <t xml:space="preserve">https://dart.fss.or.kr/dsaf001/main.do?rcpNo=20260318000738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</si>
  <si>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</si>
  <si>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</si>
  <si>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</si>
  <si>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</si>
  <si>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20260316000800</t>
  </si>
  <si>
    <t xml:space="preserve">https://dart.fss.or.kr/dsaf001/main.do?rcpNo=20260316000800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</si>
  <si>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</si>
  <si>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101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</si>
  <si>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</si>
  <si>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</si>
  <si>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20260317000641</t>
  </si>
  <si>
    <t xml:space="preserve">https://dart.fss.or.kr/dsaf001/main.do?rcpNo=20260317000641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</si>
  <si>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159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</si>
  <si>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159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</si>
  <si>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159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</si>
  <si>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159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</si>
  <si>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20260319000764</t>
  </si>
  <si>
    <t xml:space="preserve">https://dart.fss.or.kr/dsaf001/main.do?rcpNo=20260319000764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</si>
  <si>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</si>
  <si>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</si>
  <si>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</si>
  <si>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</si>
  <si>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20260319000004</t>
  </si>
  <si>
    <t xml:space="preserve">https://dart.fss.or.kr/dsaf001/main.do?rcpNo=20260319000004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</si>
  <si>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</si>
  <si>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4,683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</si>
  <si>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</si>
  <si>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</si>
  <si>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20260318000645</t>
  </si>
  <si>
    <t xml:space="preserve">https://dart.fss.or.kr/dsaf001/main.do?rcpNo=20260318000645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</si>
  <si>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</si>
  <si>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</si>
  <si>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</si>
  <si>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</si>
  <si>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20260323001543</t>
  </si>
  <si>
    <t xml:space="preserve">https://dart.fss.or.kr/dsaf001/main.do?rcpNo=20260323001543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</si>
  <si>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</si>
  <si>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101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</si>
  <si>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</si>
  <si>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101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</si>
  <si>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20260323001333</t>
  </si>
  <si>
    <t xml:space="preserve">https://dart.fss.or.kr/dsaf001/main.do?rcpNo=20260323001333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</si>
  <si>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</si>
  <si>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</si>
  <si>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</si>
  <si>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</si>
  <si>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20260323001493</t>
  </si>
  <si>
    <t xml:space="preserve">https://dart.fss.or.kr/dsaf001/main.do?rcpNo=20260323001493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</si>
  <si>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78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</si>
  <si>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78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</si>
  <si>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</si>
  <si>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78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</si>
  <si>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20260318001456</t>
  </si>
  <si>
    <t xml:space="preserve">https://dart.fss.or.kr/dsaf001/main.do?rcpNo=20260318001456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</si>
  <si>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</si>
  <si>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</si>
  <si>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</si>
  <si>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</si>
  <si>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20260323000608</t>
  </si>
  <si>
    <t xml:space="preserve">https://dart.fss.or.kr/dsaf001/main.do?rcpNo=20260323000608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</si>
  <si>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</si>
  <si>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50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</si>
  <si>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</si>
  <si>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</si>
  <si>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20260324000035</t>
  </si>
  <si>
    <t xml:space="preserve">https://dart.fss.or.kr/dsaf001/main.do?rcpNo=20260324000035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</si>
  <si>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</si>
  <si>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20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</si>
  <si>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</si>
  <si>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</si>
  <si>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20260316001365</t>
  </si>
  <si>
    <t xml:space="preserve">https://dart.fss.or.kr/dsaf001/main.do?rcpNo=20260316001365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</si>
  <si>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</si>
  <si>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</si>
  <si>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</si>
  <si>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</si>
  <si>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20260320000688</t>
  </si>
  <si>
    <t xml:space="preserve">https://dart.fss.or.kr/dsaf001/main.do?rcpNo=20260320000688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</si>
  <si>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</si>
  <si>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</si>
  <si>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</si>
  <si>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</si>
  <si>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20260319000806</t>
  </si>
  <si>
    <t xml:space="preserve">https://dart.fss.or.kr/dsaf001/main.do?rcpNo=20260319000806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</si>
  <si>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</si>
  <si>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</si>
  <si>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</si>
  <si>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</si>
  <si>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20260316001638</t>
  </si>
  <si>
    <t xml:space="preserve">https://dart.fss.or.kr/dsaf001/main.do?rcpNo=20260316001638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</si>
  <si>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</si>
  <si>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</si>
  <si>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</si>
  <si>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</si>
  <si>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20260318001274</t>
  </si>
  <si>
    <t xml:space="preserve">https://dart.fss.or.kr/dsaf001/main.do?rcpNo=20260318001274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</si>
  <si>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</si>
  <si>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</si>
  <si>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</si>
  <si>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여유자금 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유동성 상품 제안</t>
    </r>
  </si>
  <si>
    <t xml:space="preserve">20260323001679</t>
  </si>
  <si>
    <t xml:space="preserve">https://dart.fss.or.kr/dsaf001/main.do?rcpNo=20260323001679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</si>
  <si>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</si>
  <si>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128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</si>
  <si>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</si>
  <si>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</si>
  <si>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20260320001158</t>
  </si>
  <si>
    <t xml:space="preserve">https://dart.fss.or.kr/dsaf001/main.do?rcpNo=20260320001158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</si>
  <si>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</si>
  <si>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54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</si>
  <si>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</si>
  <si>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</si>
  <si>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20260323001025</t>
  </si>
  <si>
    <t xml:space="preserve">https://dart.fss.or.kr/dsaf001/main.do?rcpNo=20260323001025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</si>
  <si>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</si>
  <si>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449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</si>
  <si>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</si>
  <si>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</si>
  <si>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20260312001200</t>
  </si>
  <si>
    <t xml:space="preserve">https://dart.fss.or.kr/dsaf001/main.do?rcpNo=20260312001200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</si>
  <si>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</si>
  <si>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</si>
  <si>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</si>
  <si>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</si>
  <si>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20260318000462</t>
  </si>
  <si>
    <t xml:space="preserve">https://dart.fss.or.kr/dsaf001/main.do?rcpNo=20260318000462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</si>
  <si>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</si>
  <si>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</si>
  <si>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</si>
  <si>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기보유 운용상품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 운용사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</si>
  <si>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20260312000569</t>
  </si>
  <si>
    <t xml:space="preserve">https://dart.fss.or.kr/dsaf001/main.do?rcpNo=20260312000569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</si>
  <si>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</si>
  <si>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수익증권류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</si>
  <si>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</si>
  <si>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여유자금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유동성 상품 제안</t>
    </r>
  </si>
  <si>
    <t xml:space="preserve">20260319001027</t>
  </si>
  <si>
    <t xml:space="preserve">https://dart.fss.or.kr/dsaf001/main.do?rcpNo=20260319001027</t>
  </si>
  <si>
    <r>
      <rPr>
        <sz val="11"/>
        <color theme="1"/>
        <rFont val="나눔고딕"/>
        <family val="2"/>
      </rPr>
      <t xml:space="preserve">운용 가능 자금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억원 보유</t>
    </r>
  </si>
  <si>
    <r>
      <rPr>
        <sz val="11"/>
        <color theme="1"/>
        <rFont val="나눔고딕"/>
        <family val="2"/>
      </rPr>
      <t xml:space="preserve">단기예치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전략지분</t>
    </r>
    <r>
      <rPr>
        <sz val="11"/>
        <color theme="1"/>
        <rFont val="Calibri"/>
        <family val="2"/>
        <charset val="1"/>
      </rPr>
      <t xml:space="preserve">(FVOCI) 18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</si>
  <si>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</si>
  <si>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단기 예치자금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억원 채권형</t>
    </r>
    <r>
      <rPr>
        <sz val="11"/>
        <color theme="1"/>
        <rFont val="Calibri"/>
        <family val="2"/>
        <charset val="1"/>
      </rPr>
      <t xml:space="preserve">·ELS </t>
    </r>
    <r>
      <rPr>
        <sz val="11"/>
        <color theme="1"/>
        <rFont val="나눔고딕"/>
        <family val="2"/>
      </rPr>
      <t xml:space="preserve">수익형 전환 제안</t>
    </r>
  </si>
  <si>
    <t xml:space="preserve">20260320000666</t>
  </si>
  <si>
    <t xml:space="preserve">https://dart.fss.or.kr/dsaf001/main.do?rcpNo=20260320000666</t>
  </si>
  <si>
    <t xml:space="preserve">퇴직연금 — 영업 대상</t>
  </si>
  <si>
    <r>
      <rPr>
        <sz val="9"/>
        <color rgb="FF6B7280"/>
        <rFont val="나눔고딕"/>
        <family val="2"/>
      </rPr>
      <t xml:space="preserve">적립금 운용 물량 기반 연금 영업 </t>
    </r>
    <r>
      <rPr>
        <sz val="9"/>
        <color rgb="FF6B7280"/>
        <rFont val="Cambria"/>
        <family val="0"/>
        <charset val="1"/>
      </rPr>
      <t xml:space="preserve">· 75/100</t>
    </r>
    <r>
      <rPr>
        <sz val="9"/>
        <color rgb="FF6B7280"/>
        <rFont val="나눔고딕"/>
        <family val="2"/>
      </rPr>
      <t xml:space="preserve">개사 해당 </t>
    </r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시간 열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영업 상황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</si>
  <si>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20.6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</si>
  <si>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(77.6%)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나눔고딕"/>
        <family val="2"/>
      </rPr>
      <t xml:space="preserve">조원 신규 유입</t>
    </r>
  </si>
  <si>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나눔고딕"/>
        <family val="2"/>
      </rPr>
      <t xml:space="preserve">조원</t>
    </r>
  </si>
  <si>
    <t xml:space="preserve">원금보장형 편중</t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</si>
  <si>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122.0%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</si>
  <si>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나눔고딕"/>
        <family val="2"/>
      </rPr>
      <t xml:space="preserve">조원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</si>
  <si>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</si>
  <si>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7,815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</si>
  <si>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</si>
  <si>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102.2%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</si>
  <si>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나눔고딕"/>
        <family val="2"/>
      </rPr>
      <t xml:space="preserve">조원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</si>
  <si>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</si>
  <si>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4.8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(97.8%)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8,487</t>
    </r>
    <r>
      <rPr>
        <sz val="11"/>
        <color theme="1"/>
        <rFont val="나눔고딕"/>
        <family val="2"/>
      </rPr>
      <t xml:space="preserve">억원 유입 예정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현 수탁 미래에셋생명보험</t>
    </r>
  </si>
  <si>
    <r>
      <rPr>
        <sz val="11"/>
        <color theme="1"/>
        <rFont val="Calibri"/>
        <family val="2"/>
        <charset val="1"/>
      </rPr>
      <t xml:space="preserve">4.8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</si>
  <si>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143.1%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</si>
  <si>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4.8</t>
    </r>
    <r>
      <rPr>
        <sz val="11"/>
        <color theme="1"/>
        <rFont val="나눔고딕"/>
        <family val="2"/>
      </rPr>
      <t xml:space="preserve">조원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</si>
  <si>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3.8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</si>
  <si>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3.8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3,428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</si>
  <si>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3.8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</si>
  <si>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103.8%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</si>
  <si>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3.8</t>
    </r>
    <r>
      <rPr>
        <sz val="11"/>
        <color theme="1"/>
        <rFont val="나눔고딕"/>
        <family val="2"/>
      </rPr>
      <t xml:space="preserve">조원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</si>
  <si>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</si>
  <si>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2.7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(66.6%)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5,570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</si>
  <si>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2.7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</si>
  <si>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111.4%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</si>
  <si>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2.7</t>
    </r>
    <r>
      <rPr>
        <sz val="11"/>
        <color theme="1"/>
        <rFont val="나눔고딕"/>
        <family val="2"/>
      </rPr>
      <t xml:space="preserve">조원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</si>
  <si>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</si>
  <si>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108.2%</t>
    </r>
  </si>
  <si>
    <t xml:space="preserve">운용기관 경쟁</t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</si>
  <si>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108.2%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</si>
  <si>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나눔고딕"/>
        <family val="2"/>
      </rPr>
      <t xml:space="preserve">조원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</si>
  <si>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</si>
  <si>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3.8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47.0%</t>
    </r>
  </si>
  <si>
    <t xml:space="preserve">추가적립 필요</t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</si>
  <si>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47.0%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</si>
  <si>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나눔고딕"/>
        <family val="2"/>
      </rPr>
      <t xml:space="preserve">조원 운용기관 제안</t>
    </r>
  </si>
  <si>
    <t xml:space="preserve">20260331003871</t>
  </si>
  <si>
    <t xml:space="preserve">https://dart.fss.or.kr/dsaf001/main.do?rcpNo=20260331003871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</si>
  <si>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</si>
  <si>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2,138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</si>
  <si>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</si>
  <si>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110.4%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</si>
  <si>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실적배당형 전환 제안</t>
    </r>
  </si>
  <si>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</si>
  <si>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69.9%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</si>
  <si>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</si>
  <si>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나눔고딕"/>
        <family val="2"/>
      </rPr>
      <t xml:space="preserve">조원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</si>
  <si>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</t>
    </r>
    <r>
      <rPr>
        <sz val="11"/>
        <color theme="1"/>
        <rFont val="Calibri"/>
        <family val="2"/>
        <charset val="1"/>
      </rPr>
      <t xml:space="preserve">(68.8%)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4,862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4,577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</si>
  <si>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71.8%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</si>
  <si>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</si>
  <si>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7,764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</si>
  <si>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923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</si>
  <si>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7,764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</si>
  <si>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98.5%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</si>
  <si>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7,764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</si>
  <si>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6,940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</si>
  <si>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5,440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127.6%</t>
    </r>
  </si>
  <si>
    <r>
      <rPr>
        <sz val="11"/>
        <color theme="1"/>
        <rFont val="Calibri"/>
        <family val="2"/>
        <charset val="1"/>
      </rPr>
      <t xml:space="preserve">6,940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</si>
  <si>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127.6%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</si>
  <si>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6,940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</si>
  <si>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6,174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</si>
  <si>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6,174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493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</si>
  <si>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6,174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</si>
  <si>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128.4%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</si>
  <si>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6,174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</si>
  <si>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5,869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</si>
  <si>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5,869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</si>
  <si>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5,869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</si>
  <si>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99.6%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</si>
  <si>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5,869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</si>
  <si>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5,535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</si>
  <si>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5,914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93.6%</t>
    </r>
  </si>
  <si>
    <r>
      <rPr>
        <sz val="11"/>
        <color theme="1"/>
        <rFont val="Calibri"/>
        <family val="2"/>
        <charset val="1"/>
      </rPr>
      <t xml:space="preserve">5,535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</si>
  <si>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93.6%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</si>
  <si>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5,535</t>
    </r>
    <r>
      <rPr>
        <sz val="11"/>
        <color theme="1"/>
        <rFont val="나눔고딕"/>
        <family val="2"/>
      </rPr>
      <t xml:space="preserve">억원 운용기관 제안</t>
    </r>
  </si>
  <si>
    <t xml:space="preserve">20260312001448</t>
  </si>
  <si>
    <t xml:space="preserve">https://dart.fss.or.kr/dsaf001/main.do?rcpNo=20260312001448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</si>
  <si>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5,310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</si>
  <si>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5,310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201</t>
    </r>
    <r>
      <rPr>
        <sz val="11"/>
        <color theme="1"/>
        <rFont val="나눔고딕"/>
        <family val="2"/>
      </rPr>
      <t xml:space="preserve">억원 신규 유입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현 수탁 </t>
    </r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나눔고딕"/>
        <family val="2"/>
      </rPr>
      <t xml:space="preserve">생명보험</t>
    </r>
  </si>
  <si>
    <r>
      <rPr>
        <sz val="11"/>
        <color theme="1"/>
        <rFont val="Calibri"/>
        <family val="2"/>
        <charset val="1"/>
      </rPr>
      <t xml:space="preserve">5,310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</si>
  <si>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107.8%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</si>
  <si>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5,310</t>
    </r>
    <r>
      <rPr>
        <sz val="11"/>
        <color theme="1"/>
        <rFont val="나눔고딕"/>
        <family val="2"/>
      </rPr>
      <t xml:space="preserve">억원 실적배당형 전환 제안</t>
    </r>
  </si>
  <si>
    <t xml:space="preserve">20260331003904</t>
  </si>
  <si>
    <t xml:space="preserve">https://dart.fss.or.kr/dsaf001/main.do?rcpNo=20260331003904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</si>
  <si>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4,485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</si>
  <si>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4,484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</si>
  <si>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4,484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</si>
  <si>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110.7%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</si>
  <si>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4,484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</si>
  <si>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3,536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</si>
  <si>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3,137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112.7%</t>
    </r>
  </si>
  <si>
    <r>
      <rPr>
        <sz val="11"/>
        <color theme="1"/>
        <rFont val="Calibri"/>
        <family val="2"/>
        <charset val="1"/>
      </rPr>
      <t xml:space="preserve">3,536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</si>
  <si>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112.7%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</si>
  <si>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3,536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</si>
  <si>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3,259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</si>
  <si>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2,787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116.9%</t>
    </r>
  </si>
  <si>
    <r>
      <rPr>
        <sz val="11"/>
        <color theme="1"/>
        <rFont val="Calibri"/>
        <family val="2"/>
        <charset val="1"/>
      </rPr>
      <t xml:space="preserve">3,259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</si>
  <si>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116.9%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</si>
  <si>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3,259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</si>
  <si>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20260318001324</t>
  </si>
  <si>
    <t xml:space="preserve">https://dart.fss.or.kr/dsaf001/main.do?rcpNo=20260318001324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</si>
  <si>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2,880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</si>
  <si>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3,933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73.2%</t>
    </r>
  </si>
  <si>
    <r>
      <rPr>
        <sz val="11"/>
        <color theme="1"/>
        <rFont val="Calibri"/>
        <family val="2"/>
        <charset val="1"/>
      </rPr>
      <t xml:space="preserve">2,880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</si>
  <si>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73.2%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</si>
  <si>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2,880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</si>
  <si>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2,873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</si>
  <si>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2,873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241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</si>
  <si>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2,873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</si>
  <si>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110.8%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</si>
  <si>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2,873</t>
    </r>
    <r>
      <rPr>
        <sz val="11"/>
        <color theme="1"/>
        <rFont val="나눔고딕"/>
        <family val="2"/>
      </rPr>
      <t xml:space="preserve">억원 실적배당형 전환 제안</t>
    </r>
  </si>
  <si>
    <t xml:space="preserve">20260318001243</t>
  </si>
  <si>
    <t xml:space="preserve">https://dart.fss.or.kr/dsaf001/main.do?rcpNo=20260318001243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</si>
  <si>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2,738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</si>
  <si>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2,525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(92.2%)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167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448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</si>
  <si>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2,525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</si>
  <si>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49.3%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</si>
  <si>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2,525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</si>
  <si>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2,402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</si>
  <si>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3,526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68.1%</t>
    </r>
  </si>
  <si>
    <r>
      <rPr>
        <sz val="11"/>
        <color theme="1"/>
        <rFont val="Calibri"/>
        <family val="2"/>
        <charset val="1"/>
      </rPr>
      <t xml:space="preserve">2,402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</si>
  <si>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68.1%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</si>
  <si>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2,402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</si>
  <si>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2,331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</si>
  <si>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2,244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103.9%</t>
    </r>
  </si>
  <si>
    <r>
      <rPr>
        <sz val="11"/>
        <color theme="1"/>
        <rFont val="Calibri"/>
        <family val="2"/>
        <charset val="1"/>
      </rPr>
      <t xml:space="preserve">2,331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</si>
  <si>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103.9%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</si>
  <si>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2,331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</si>
  <si>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1,673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</si>
  <si>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1,621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(96.9%)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69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</si>
  <si>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1,621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</si>
  <si>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97.0%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</si>
  <si>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1,621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</si>
  <si>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1,597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</si>
  <si>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1,597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</si>
  <si>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1,597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</si>
  <si>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92.6%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</si>
  <si>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1,597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</si>
  <si>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1,375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</si>
  <si>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(83.0%)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234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585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</si>
  <si>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</si>
  <si>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83.8%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</si>
  <si>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나눔고딕"/>
        <family val="2"/>
      </rPr>
      <t xml:space="preserve">억원 운용기관 제안</t>
    </r>
  </si>
  <si>
    <t xml:space="preserve">20260318001612</t>
  </si>
  <si>
    <t xml:space="preserve">https://dart.fss.or.kr/dsaf001/main.do?rcpNo=20260318001612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</si>
  <si>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993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</si>
  <si>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</si>
  <si>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993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</si>
  <si>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103.3%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</si>
  <si>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993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</si>
  <si>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992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</si>
  <si>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966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102.8%</t>
    </r>
  </si>
  <si>
    <r>
      <rPr>
        <sz val="11"/>
        <color theme="1"/>
        <rFont val="Calibri"/>
        <family val="2"/>
        <charset val="1"/>
      </rPr>
      <t xml:space="preserve">992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</si>
  <si>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102.8%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</si>
  <si>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992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</si>
  <si>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</si>
  <si>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844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101.6%</t>
    </r>
  </si>
  <si>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</si>
  <si>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101.6%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</si>
  <si>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</si>
  <si>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847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</si>
  <si>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793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106.8%</t>
    </r>
  </si>
  <si>
    <r>
      <rPr>
        <sz val="11"/>
        <color theme="1"/>
        <rFont val="Calibri"/>
        <family val="2"/>
        <charset val="1"/>
      </rPr>
      <t xml:space="preserve">847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</si>
  <si>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106.8%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</si>
  <si>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847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</si>
  <si>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791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</si>
  <si>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573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138.0%</t>
    </r>
  </si>
  <si>
    <r>
      <rPr>
        <sz val="11"/>
        <color theme="1"/>
        <rFont val="Calibri"/>
        <family val="2"/>
        <charset val="1"/>
      </rPr>
      <t xml:space="preserve">791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</si>
  <si>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138.0%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</si>
  <si>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791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</si>
  <si>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20260317000838</t>
  </si>
  <si>
    <t xml:space="preserve">https://dart.fss.or.kr/dsaf001/main.do?rcpNo=20260317000838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</si>
  <si>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</si>
  <si>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261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</si>
  <si>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</si>
  <si>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87.9%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</si>
  <si>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</si>
  <si>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590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</si>
  <si>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522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113.0%</t>
    </r>
  </si>
  <si>
    <r>
      <rPr>
        <sz val="11"/>
        <color theme="1"/>
        <rFont val="Calibri"/>
        <family val="2"/>
        <charset val="1"/>
      </rPr>
      <t xml:space="preserve">590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</si>
  <si>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113.0%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</si>
  <si>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590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</si>
  <si>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543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</si>
  <si>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</si>
  <si>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543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</si>
  <si>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37.2%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</si>
  <si>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543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</si>
  <si>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522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</si>
  <si>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605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86.2%</t>
    </r>
  </si>
  <si>
    <r>
      <rPr>
        <sz val="11"/>
        <color theme="1"/>
        <rFont val="Calibri"/>
        <family val="2"/>
        <charset val="1"/>
      </rPr>
      <t xml:space="preserve">522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</si>
  <si>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86.2%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</si>
  <si>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522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</si>
  <si>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</si>
  <si>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504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99.3%</t>
    </r>
  </si>
  <si>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</si>
  <si>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99.3%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</si>
  <si>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</si>
  <si>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2024-12-31</t>
  </si>
  <si>
    <t xml:space="preserve">20260515001029</t>
  </si>
  <si>
    <t xml:space="preserve">https://dart.fss.or.kr/dsaf001/main.do?rcpNo=20260515001029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</si>
  <si>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1,156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</si>
  <si>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469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(40.6%)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302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</si>
  <si>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469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</si>
  <si>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110.4%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</si>
  <si>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469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</si>
  <si>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687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</si>
  <si>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447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(65.1%) · </t>
    </r>
    <r>
      <rPr>
        <sz val="11"/>
        <color theme="1"/>
        <rFont val="나눔고딕"/>
        <family val="2"/>
      </rPr>
      <t xml:space="preserve">실적배당형 없음</t>
    </r>
  </si>
  <si>
    <r>
      <rPr>
        <sz val="11"/>
        <color theme="1"/>
        <rFont val="Calibri"/>
        <family val="2"/>
        <charset val="1"/>
      </rPr>
      <t xml:space="preserve">447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</si>
  <si>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135.7%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</si>
  <si>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447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</si>
  <si>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265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</si>
  <si>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258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102.9%</t>
    </r>
  </si>
  <si>
    <r>
      <rPr>
        <sz val="11"/>
        <color theme="1"/>
        <rFont val="Calibri"/>
        <family val="2"/>
        <charset val="1"/>
      </rPr>
      <t xml:space="preserve">265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</si>
  <si>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102.9%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</si>
  <si>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265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</si>
  <si>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262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</si>
  <si>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1,160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22.6%</t>
    </r>
  </si>
  <si>
    <r>
      <rPr>
        <sz val="11"/>
        <color theme="1"/>
        <rFont val="Calibri"/>
        <family val="2"/>
        <charset val="1"/>
      </rPr>
      <t xml:space="preserve">262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</si>
  <si>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22.6%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</si>
  <si>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262</t>
    </r>
    <r>
      <rPr>
        <sz val="11"/>
        <color theme="1"/>
        <rFont val="나눔고딕"/>
        <family val="2"/>
      </rPr>
      <t xml:space="preserve">억원 운용기관 제안</t>
    </r>
  </si>
  <si>
    <t xml:space="preserve">20260318001525</t>
  </si>
  <si>
    <t xml:space="preserve">https://dart.fss.or.kr/dsaf001/main.do?rcpNo=20260318001525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</si>
  <si>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252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</si>
  <si>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106.1%</t>
    </r>
  </si>
  <si>
    <r>
      <rPr>
        <sz val="11"/>
        <color theme="1"/>
        <rFont val="Calibri"/>
        <family val="2"/>
        <charset val="1"/>
      </rPr>
      <t xml:space="preserve">252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</si>
  <si>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106.1%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</si>
  <si>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252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</si>
  <si>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251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</si>
  <si>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216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116.1%</t>
    </r>
  </si>
  <si>
    <r>
      <rPr>
        <sz val="11"/>
        <color theme="1"/>
        <rFont val="Calibri"/>
        <family val="2"/>
        <charset val="1"/>
      </rPr>
      <t xml:space="preserve">251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</si>
  <si>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116.1%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</si>
  <si>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251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</si>
  <si>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</si>
  <si>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142.0%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</si>
  <si>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142.0%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</si>
  <si>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</si>
  <si>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241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</si>
  <si>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233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103.2%</t>
    </r>
  </si>
  <si>
    <r>
      <rPr>
        <sz val="11"/>
        <color theme="1"/>
        <rFont val="Calibri"/>
        <family val="2"/>
        <charset val="1"/>
      </rPr>
      <t xml:space="preserve">241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</si>
  <si>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103.2%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</si>
  <si>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241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</si>
  <si>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239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</si>
  <si>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</si>
  <si>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239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</si>
  <si>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75.9%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</si>
  <si>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239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</si>
  <si>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214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</si>
  <si>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197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108.8%</t>
    </r>
  </si>
  <si>
    <r>
      <rPr>
        <sz val="11"/>
        <color theme="1"/>
        <rFont val="Calibri"/>
        <family val="2"/>
        <charset val="1"/>
      </rPr>
      <t xml:space="preserve">214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</si>
  <si>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108.8%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</si>
  <si>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214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</si>
  <si>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204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</si>
  <si>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181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112.6%</t>
    </r>
  </si>
  <si>
    <r>
      <rPr>
        <sz val="11"/>
        <color theme="1"/>
        <rFont val="Calibri"/>
        <family val="2"/>
        <charset val="1"/>
      </rPr>
      <t xml:space="preserve">204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</si>
  <si>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112.6%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</si>
  <si>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204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</si>
  <si>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203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</si>
  <si>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181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112.3%</t>
    </r>
  </si>
  <si>
    <r>
      <rPr>
        <sz val="11"/>
        <color theme="1"/>
        <rFont val="Calibri"/>
        <family val="2"/>
        <charset val="1"/>
      </rPr>
      <t xml:space="preserve">203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</si>
  <si>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112.3%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</si>
  <si>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203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</si>
  <si>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192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</si>
  <si>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310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61.8%</t>
    </r>
  </si>
  <si>
    <r>
      <rPr>
        <sz val="11"/>
        <color theme="1"/>
        <rFont val="Calibri"/>
        <family val="2"/>
        <charset val="1"/>
      </rPr>
      <t xml:space="preserve">192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</si>
  <si>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61.8%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</si>
  <si>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192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</si>
  <si>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</si>
  <si>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219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82.7%</t>
    </r>
  </si>
  <si>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</si>
  <si>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82.7%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</si>
  <si>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</si>
  <si>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178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</si>
  <si>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162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109.9%</t>
    </r>
  </si>
  <si>
    <r>
      <rPr>
        <sz val="11"/>
        <color theme="1"/>
        <rFont val="Calibri"/>
        <family val="2"/>
        <charset val="1"/>
      </rPr>
      <t xml:space="preserve">178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</si>
  <si>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109.9%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</si>
  <si>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178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</si>
  <si>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135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</si>
  <si>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101.5%</t>
    </r>
  </si>
  <si>
    <r>
      <rPr>
        <sz val="11"/>
        <color theme="1"/>
        <rFont val="Calibri"/>
        <family val="2"/>
        <charset val="1"/>
      </rPr>
      <t xml:space="preserve">135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</si>
  <si>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101.5%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</si>
  <si>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135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</si>
  <si>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</si>
  <si>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</t>
    </r>
  </si>
  <si>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</si>
  <si>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62.1%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</si>
  <si>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나눔고딕"/>
        <family val="2"/>
      </rPr>
      <t xml:space="preserve">억원 운용기관 제안</t>
    </r>
  </si>
  <si>
    <t xml:space="preserve">20260721001043</t>
  </si>
  <si>
    <t xml:space="preserve">https://dart.fss.or.kr/dsaf001/main.do?rcpNo=20260721001043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</si>
  <si>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</si>
  <si>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103.2%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</si>
  <si>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</si>
  <si>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</si>
  <si>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</t>
    </r>
  </si>
  <si>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</si>
  <si>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95.4%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</si>
  <si>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</si>
  <si>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</si>
  <si>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98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96.7%</t>
    </r>
  </si>
  <si>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</si>
  <si>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96.7%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</si>
  <si>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</si>
  <si>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123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77.1%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</si>
  <si>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77.1%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</si>
  <si>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</si>
  <si>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</si>
  <si>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78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108.7%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</si>
  <si>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</si>
  <si>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108.7%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</si>
  <si>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</si>
  <si>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770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</si>
  <si>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(9.1%)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차기 기여금 </t>
    </r>
    <r>
      <rPr>
        <sz val="11"/>
        <color theme="1"/>
        <rFont val="Calibri"/>
        <family val="2"/>
        <charset val="1"/>
      </rPr>
      <t xml:space="preserve">151</t>
    </r>
    <r>
      <rPr>
        <sz val="11"/>
        <color theme="1"/>
        <rFont val="나눔고딕"/>
        <family val="2"/>
      </rPr>
      <t xml:space="preserve">억원 유입 예정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</si>
  <si>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108.6%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</si>
  <si>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</si>
  <si>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69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</si>
  <si>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63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110.4%</t>
    </r>
  </si>
  <si>
    <r>
      <rPr>
        <sz val="11"/>
        <color theme="1"/>
        <rFont val="Calibri"/>
        <family val="2"/>
        <charset val="1"/>
      </rPr>
      <t xml:space="preserve">69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</si>
  <si>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69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</si>
  <si>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</si>
  <si>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</t>
    </r>
  </si>
  <si>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</si>
  <si>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97.3%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</si>
  <si>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66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</si>
  <si>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</si>
  <si>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427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11.7%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</si>
  <si>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</si>
  <si>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11.7%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</si>
  <si>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나눔고딕"/>
        <family val="2"/>
      </rPr>
      <t xml:space="preserve">억원 운용기관 제안</t>
    </r>
  </si>
  <si>
    <t xml:space="preserve">20260515002972</t>
  </si>
  <si>
    <t xml:space="preserve">https://dart.fss.or.kr/dsaf001/main.do?rcpNo=20260515002972</t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</si>
  <si>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</si>
  <si>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101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</si>
  <si>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</si>
  <si>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</si>
  <si>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</si>
  <si>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</si>
  <si>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102.9%</t>
    </r>
  </si>
  <si>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</si>
  <si>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</si>
  <si>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</si>
  <si>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90.7%</t>
    </r>
  </si>
  <si>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</si>
  <si>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90.7%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</si>
  <si>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</si>
  <si>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</si>
  <si>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75.5%</t>
    </r>
  </si>
  <si>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</si>
  <si>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75.5%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</si>
  <si>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</si>
  <si>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</si>
  <si>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(39.6%)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</si>
  <si>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65.8%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</si>
  <si>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</si>
  <si>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</si>
  <si>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</si>
  <si>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원금보장형 편중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108.9%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</si>
  <si>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나눔고딕"/>
        <family val="2"/>
      </rPr>
      <t xml:space="preserve">억원 실적배당형 전환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</si>
  <si>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</si>
  <si>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(100.0%) · </t>
    </r>
    <r>
      <rPr>
        <sz val="11"/>
        <color theme="1"/>
        <rFont val="나눔고딕"/>
        <family val="2"/>
      </rPr>
      <t xml:space="preserve">실적배당형 없음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</si>
  <si>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33.3%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</si>
  <si>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</si>
  <si>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</si>
  <si>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75.7%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</si>
  <si>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</si>
  <si>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추가적립 필요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75.7%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</si>
  <si>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</si>
  <si>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</si>
  <si>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77.1%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</si>
  <si>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</si>
  <si>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적립 부족분 해소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신규 적립금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 운용기관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</si>
  <si>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</si>
  <si>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확정급여채무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113.3%</t>
    </r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</si>
  <si>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</si>
  <si>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113.3%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</si>
  <si>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</si>
  <si>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630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</si>
  <si>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(0.8%)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626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</si>
  <si>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</si>
  <si>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111.8%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</si>
  <si>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</si>
  <si>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r>
      <rPr>
        <sz val="11"/>
        <color theme="1"/>
        <rFont val="나눔고딕"/>
        <family val="2"/>
      </rPr>
      <t xml:space="preserve">퇴직연금 적립금 </t>
    </r>
    <r>
      <rPr>
        <sz val="11"/>
        <color theme="1"/>
        <rFont val="Calibri"/>
        <family val="2"/>
        <charset val="1"/>
      </rPr>
      <t xml:space="preserve">2,202</t>
    </r>
    <r>
      <rPr>
        <sz val="11"/>
        <color theme="1"/>
        <rFont val="나눔고딕"/>
        <family val="2"/>
      </rPr>
      <t xml:space="preserve">억원 운용 중</t>
    </r>
  </si>
  <si>
    <r>
      <rPr>
        <sz val="11"/>
        <color theme="1"/>
        <rFont val="나눔고딕"/>
        <family val="2"/>
      </rPr>
      <t xml:space="preserve">원금보장형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</t>
    </r>
    <r>
      <rPr>
        <sz val="11"/>
        <color theme="1"/>
        <rFont val="Calibri"/>
        <family val="2"/>
        <charset val="1"/>
      </rPr>
      <t xml:space="preserve">(0.1%) · </t>
    </r>
    <r>
      <rPr>
        <sz val="11"/>
        <color theme="1"/>
        <rFont val="나눔고딕"/>
        <family val="2"/>
      </rPr>
      <t xml:space="preserve">간접투자 </t>
    </r>
    <r>
      <rPr>
        <sz val="11"/>
        <color theme="1"/>
        <rFont val="Calibri"/>
        <family val="2"/>
        <charset val="1"/>
      </rPr>
      <t xml:space="preserve">2,201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당기 기여금 </t>
    </r>
    <r>
      <rPr>
        <sz val="11"/>
        <color theme="1"/>
        <rFont val="Calibri"/>
        <family val="2"/>
        <charset val="1"/>
      </rPr>
      <t xml:space="preserve">312</t>
    </r>
    <r>
      <rPr>
        <sz val="11"/>
        <color theme="1"/>
        <rFont val="나눔고딕"/>
        <family val="2"/>
      </rPr>
      <t xml:space="preserve">억원 신규 유입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</si>
  <si>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</si>
  <si>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운용기관 경쟁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적립률 </t>
    </r>
    <r>
      <rPr>
        <sz val="11"/>
        <color theme="1"/>
        <rFont val="Calibri"/>
        <family val="2"/>
        <charset val="1"/>
      </rPr>
      <t xml:space="preserve">109.5%</t>
    </r>
  </si>
  <si>
    <r>
      <rPr>
        <sz val="11"/>
        <color theme="1"/>
        <rFont val="나눔고딕"/>
        <family val="2"/>
      </rPr>
      <t xml:space="preserve">적립금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 운용기관 교체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추가 제안</t>
    </r>
  </si>
  <si>
    <t xml:space="preserve">자사주 처분 — 영업 대상</t>
  </si>
  <si>
    <r>
      <rPr>
        <sz val="9"/>
        <color rgb="FF6B7280"/>
        <rFont val="나눔고딕"/>
        <family val="2"/>
      </rPr>
      <t xml:space="preserve">자사주 처분 물량 블록딜 영업 </t>
    </r>
    <r>
      <rPr>
        <sz val="9"/>
        <color rgb="FF6B7280"/>
        <rFont val="Cambria"/>
        <family val="0"/>
        <charset val="1"/>
      </rPr>
      <t xml:space="preserve">· 80/100</t>
    </r>
    <r>
      <rPr>
        <sz val="9"/>
        <color rgb="FF6B7280"/>
        <rFont val="나눔고딕"/>
        <family val="2"/>
      </rPr>
      <t xml:space="preserve">개사 해당 </t>
    </r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시간 열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처분 예정일 </t>
    </r>
    <r>
      <rPr>
        <sz val="9"/>
        <color rgb="FF6B7280"/>
        <rFont val="Cambria"/>
        <family val="0"/>
        <charset val="1"/>
      </rPr>
      <t xml:space="preserve">/ D-day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</si>
  <si>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18.9</t>
    </r>
    <r>
      <rPr>
        <sz val="11"/>
        <color theme="1"/>
        <rFont val="나눔고딕"/>
        <family val="2"/>
      </rPr>
      <t xml:space="preserve">조원 처분 여력</t>
    </r>
  </si>
  <si>
    <r>
      <rPr>
        <sz val="11"/>
        <color theme="1"/>
        <rFont val="Calibri"/>
        <family val="2"/>
        <charset val="1"/>
      </rPr>
      <t xml:space="preserve">82,086,705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2026-07-13</t>
    </r>
  </si>
  <si>
    <r>
      <rPr>
        <sz val="11"/>
        <color theme="1"/>
        <rFont val="Calibri"/>
        <family val="2"/>
        <charset val="1"/>
      </rPr>
      <t xml:space="preserve">18.9</t>
    </r>
    <r>
      <rPr>
        <sz val="11"/>
        <color theme="1"/>
        <rFont val="나눔고딕"/>
        <family val="2"/>
      </rPr>
      <t xml:space="preserve">조원</t>
    </r>
  </si>
  <si>
    <t xml:space="preserve">보유 물량</t>
  </si>
  <si>
    <t xml:space="preserve">예정 공시 없음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</si>
  <si>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18.9</t>
    </r>
    <r>
      <rPr>
        <sz val="11"/>
        <color theme="1"/>
        <rFont val="나눔고딕"/>
        <family val="2"/>
      </rPr>
      <t xml:space="preserve">조원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</si>
  <si>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20260713000395</t>
  </si>
  <si>
    <t xml:space="preserve">https://dart.fss.or.kr/dsaf001/main.do?rcpNo=20260713000395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</si>
  <si>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나눔고딕"/>
        <family val="2"/>
      </rPr>
      <t xml:space="preserve">조원 처분 여력</t>
    </r>
  </si>
  <si>
    <r>
      <rPr>
        <sz val="11"/>
        <color theme="1"/>
        <rFont val="Calibri"/>
        <family val="2"/>
        <charset val="1"/>
      </rPr>
      <t xml:space="preserve">7,000,583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2026-06-12</t>
    </r>
  </si>
  <si>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</si>
  <si>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나눔고딕"/>
        <family val="2"/>
      </rPr>
      <t xml:space="preserve">조원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</si>
  <si>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20260512000680</t>
  </si>
  <si>
    <t xml:space="preserve">https://dart.fss.or.kr/dsaf001/main.do?rcpNo=20260512000680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</si>
  <si>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나눔고딕"/>
        <family val="2"/>
      </rPr>
      <t xml:space="preserve">조원 처분 여력</t>
    </r>
  </si>
  <si>
    <r>
      <rPr>
        <sz val="11"/>
        <color theme="1"/>
        <rFont val="Calibri"/>
        <family val="2"/>
        <charset val="1"/>
      </rPr>
      <t xml:space="preserve">2,437,320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2026-02-25</t>
    </r>
  </si>
  <si>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</si>
  <si>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나눔고딕"/>
        <family val="2"/>
      </rPr>
      <t xml:space="preserve">조원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</si>
  <si>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20260210000849</t>
  </si>
  <si>
    <t xml:space="preserve">https://dart.fss.or.kr/dsaf001/main.do?rcpNo=20260210000849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</si>
  <si>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2.6</t>
    </r>
    <r>
      <rPr>
        <sz val="11"/>
        <color theme="1"/>
        <rFont val="나눔고딕"/>
        <family val="2"/>
      </rPr>
      <t xml:space="preserve">조원 처분 여력</t>
    </r>
  </si>
  <si>
    <r>
      <rPr>
        <sz val="11"/>
        <color theme="1"/>
        <rFont val="Calibri"/>
        <family val="2"/>
        <charset val="1"/>
      </rPr>
      <t xml:space="preserve">14,168,821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2026-02-27</t>
    </r>
  </si>
  <si>
    <r>
      <rPr>
        <sz val="11"/>
        <color theme="1"/>
        <rFont val="Calibri"/>
        <family val="2"/>
        <charset val="1"/>
      </rPr>
      <t xml:space="preserve">2.6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</si>
  <si>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2.6</t>
    </r>
    <r>
      <rPr>
        <sz val="11"/>
        <color theme="1"/>
        <rFont val="나눔고딕"/>
        <family val="2"/>
      </rPr>
      <t xml:space="preserve">조원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</si>
  <si>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20260224004024</t>
  </si>
  <si>
    <t xml:space="preserve">https://dart.fss.or.kr/dsaf001/main.do?rcpNo=20260224004024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</si>
  <si>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나눔고딕"/>
        <family val="2"/>
      </rPr>
      <t xml:space="preserve">조원 처분 여력</t>
    </r>
  </si>
  <si>
    <r>
      <rPr>
        <sz val="11"/>
        <color theme="1"/>
        <rFont val="Calibri"/>
        <family val="2"/>
        <charset val="1"/>
      </rPr>
      <t xml:space="preserve">10,754,871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2025-12-26</t>
    </r>
  </si>
  <si>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</si>
  <si>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나눔고딕"/>
        <family val="2"/>
      </rPr>
      <t xml:space="preserve">조원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</si>
  <si>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20251222000527</t>
  </si>
  <si>
    <t xml:space="preserve">https://dart.fss.or.kr/dsaf001/main.do?rcpNo=20251222000527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</si>
  <si>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나눔고딕"/>
        <family val="2"/>
      </rPr>
      <t xml:space="preserve">조원 처분 여력</t>
    </r>
  </si>
  <si>
    <r>
      <rPr>
        <sz val="11"/>
        <color theme="1"/>
        <rFont val="Calibri"/>
        <family val="2"/>
        <charset val="1"/>
      </rPr>
      <t xml:space="preserve">1,165,588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2025-09-26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</si>
  <si>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나눔고딕"/>
        <family val="2"/>
      </rPr>
      <t xml:space="preserve">조원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</si>
  <si>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20250919000329</t>
  </si>
  <si>
    <t xml:space="preserve">https://dart.fss.or.kr/dsaf001/main.do?rcpNo=20250919000329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</si>
  <si>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9,367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</si>
  <si>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2,341,700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2026-07-31</t>
    </r>
  </si>
  <si>
    <r>
      <rPr>
        <sz val="11"/>
        <color theme="1"/>
        <rFont val="Calibri"/>
        <family val="2"/>
        <charset val="1"/>
      </rPr>
      <t xml:space="preserve">9,367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</si>
  <si>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9,367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</si>
  <si>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20260723000599</t>
  </si>
  <si>
    <t xml:space="preserve">https://dart.fss.or.kr/dsaf001/main.do?rcpNo=20260723000599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</si>
  <si>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9,317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</si>
  <si>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6,973,925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2026-04-01</t>
    </r>
  </si>
  <si>
    <r>
      <rPr>
        <sz val="11"/>
        <color theme="1"/>
        <rFont val="Calibri"/>
        <family val="2"/>
        <charset val="1"/>
      </rPr>
      <t xml:space="preserve">9,317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</si>
  <si>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9,317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</si>
  <si>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20260320001182</t>
  </si>
  <si>
    <t xml:space="preserve">https://dart.fss.or.kr/dsaf001/main.do?rcpNo=20260320001182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</si>
  <si>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7,904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</si>
  <si>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1,555,800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2026-02-12</t>
    </r>
  </si>
  <si>
    <r>
      <rPr>
        <sz val="11"/>
        <color theme="1"/>
        <rFont val="Calibri"/>
        <family val="2"/>
        <charset val="1"/>
      </rPr>
      <t xml:space="preserve">7,904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</si>
  <si>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7,904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</si>
  <si>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20260210000755</t>
  </si>
  <si>
    <t xml:space="preserve">https://dart.fss.or.kr/dsaf001/main.do?rcpNo=20260210000755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</si>
  <si>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4,426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</si>
  <si>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12,811,774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</si>
  <si>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4,426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</si>
  <si>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4,426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</si>
  <si>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20260617000479</t>
  </si>
  <si>
    <t xml:space="preserve">https://dart.fss.or.kr/dsaf001/main.do?rcpNo=20260617000479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</si>
  <si>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4,191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</si>
  <si>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3,127,352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</si>
  <si>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4,191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</si>
  <si>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4,191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</si>
  <si>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20251120000540</t>
  </si>
  <si>
    <t xml:space="preserve">https://dart.fss.or.kr/dsaf001/main.do?rcpNo=20251120000540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</si>
  <si>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3,832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</si>
  <si>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10,985,500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</si>
  <si>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3,832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</si>
  <si>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3,832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</si>
  <si>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20260320001275</t>
  </si>
  <si>
    <t xml:space="preserve">https://dart.fss.or.kr/dsaf001/main.do?rcpNo=20260320001275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</si>
  <si>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2,499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</si>
  <si>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14,700,000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2026-03-06</t>
    </r>
  </si>
  <si>
    <r>
      <rPr>
        <sz val="11"/>
        <color theme="1"/>
        <rFont val="Calibri"/>
        <family val="2"/>
        <charset val="1"/>
      </rPr>
      <t xml:space="preserve">2,499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</si>
  <si>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2,499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</si>
  <si>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20260304001680</t>
  </si>
  <si>
    <t xml:space="preserve">https://dart.fss.or.kr/dsaf001/main.do?rcpNo=20260304001680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</si>
  <si>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2,444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</si>
  <si>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1,062,846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2026-06-01</t>
    </r>
  </si>
  <si>
    <r>
      <rPr>
        <sz val="11"/>
        <color theme="1"/>
        <rFont val="Calibri"/>
        <family val="2"/>
        <charset val="1"/>
      </rPr>
      <t xml:space="preserve">2,444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</si>
  <si>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2,444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</si>
  <si>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20260430001031</t>
  </si>
  <si>
    <t xml:space="preserve">https://dart.fss.or.kr/dsaf001/main.do?rcpNo=20260430001031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</si>
  <si>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2,114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</si>
  <si>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1,624,536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2025-12-22</t>
    </r>
  </si>
  <si>
    <r>
      <rPr>
        <sz val="11"/>
        <color theme="1"/>
        <rFont val="Calibri"/>
        <family val="2"/>
        <charset val="1"/>
      </rPr>
      <t xml:space="preserve">2,114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</si>
  <si>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2,114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</si>
  <si>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20251208000071</t>
  </si>
  <si>
    <t xml:space="preserve">https://dart.fss.or.kr/dsaf001/main.do?rcpNo=20251208000071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</si>
  <si>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2,079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</si>
  <si>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1,024,080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2025-12-30</t>
    </r>
  </si>
  <si>
    <r>
      <rPr>
        <sz val="11"/>
        <color theme="1"/>
        <rFont val="Calibri"/>
        <family val="2"/>
        <charset val="1"/>
      </rPr>
      <t xml:space="preserve">2,079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</si>
  <si>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2,079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</si>
  <si>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20251216000338</t>
  </si>
  <si>
    <t xml:space="preserve">https://dart.fss.or.kr/dsaf001/main.do?rcpNo=20251216000338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</si>
  <si>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1,454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</si>
  <si>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18,810,789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2026-04-29</t>
    </r>
  </si>
  <si>
    <r>
      <rPr>
        <sz val="11"/>
        <color theme="1"/>
        <rFont val="Calibri"/>
        <family val="2"/>
        <charset val="1"/>
      </rPr>
      <t xml:space="preserve">1,454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</si>
  <si>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1,454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</si>
  <si>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20260429000001</t>
  </si>
  <si>
    <t xml:space="preserve">https://dart.fss.or.kr/dsaf001/main.do?rcpNo=20260429000001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</si>
  <si>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1,314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</si>
  <si>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6,665,024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2026-06-05</t>
    </r>
  </si>
  <si>
    <r>
      <rPr>
        <sz val="11"/>
        <color theme="1"/>
        <rFont val="Calibri"/>
        <family val="2"/>
        <charset val="1"/>
      </rPr>
      <t xml:space="preserve">1,314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</si>
  <si>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1,314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</si>
  <si>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20260506000422</t>
  </si>
  <si>
    <t xml:space="preserve">https://dart.fss.or.kr/dsaf001/main.do?rcpNo=20260506000422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</si>
  <si>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935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</si>
  <si>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2,500,233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</si>
  <si>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935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</si>
  <si>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935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</si>
  <si>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20251023000338</t>
  </si>
  <si>
    <t xml:space="preserve">https://dart.fss.or.kr/dsaf001/main.do?rcpNo=20251023000338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</si>
  <si>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915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</si>
  <si>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2,135,000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2024-07-05</t>
    </r>
  </si>
  <si>
    <r>
      <rPr>
        <sz val="11"/>
        <color theme="1"/>
        <rFont val="Calibri"/>
        <family val="2"/>
        <charset val="1"/>
      </rPr>
      <t xml:space="preserve">915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</si>
  <si>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915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</si>
  <si>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20260706000509</t>
  </si>
  <si>
    <t xml:space="preserve">https://dart.fss.or.kr/dsaf001/main.do?rcpNo=20260706000509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</si>
  <si>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891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</si>
  <si>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11,335,189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2025-12-31</t>
    </r>
  </si>
  <si>
    <r>
      <rPr>
        <sz val="11"/>
        <color theme="1"/>
        <rFont val="Calibri"/>
        <family val="2"/>
        <charset val="1"/>
      </rPr>
      <t xml:space="preserve">891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</si>
  <si>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891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</si>
  <si>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20251217000399</t>
  </si>
  <si>
    <t xml:space="preserve">https://dart.fss.or.kr/dsaf001/main.do?rcpNo=20251217000399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</si>
  <si>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829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</si>
  <si>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778,808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</si>
  <si>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829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</si>
  <si>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829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</si>
  <si>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20260211000385</t>
  </si>
  <si>
    <t xml:space="preserve">https://dart.fss.or.kr/dsaf001/main.do?rcpNo=20260211000385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</si>
  <si>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763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</si>
  <si>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1,613,171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2025-10-20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</si>
  <si>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763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</si>
  <si>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20251002000526</t>
  </si>
  <si>
    <t xml:space="preserve">https://dart.fss.or.kr/dsaf001/main.do?rcpNo=20251002000526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</si>
  <si>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723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</si>
  <si>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2,378,668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2026-02-04</t>
    </r>
  </si>
  <si>
    <r>
      <rPr>
        <sz val="11"/>
        <color theme="1"/>
        <rFont val="Calibri"/>
        <family val="2"/>
        <charset val="1"/>
      </rPr>
      <t xml:space="preserve">723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</si>
  <si>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723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</si>
  <si>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20260122000309</t>
  </si>
  <si>
    <t xml:space="preserve">https://dart.fss.or.kr/dsaf001/main.do?rcpNo=20260122000309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</si>
  <si>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711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</si>
  <si>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2,220,000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2026-01-30</t>
    </r>
  </si>
  <si>
    <r>
      <rPr>
        <sz val="11"/>
        <color theme="1"/>
        <rFont val="Calibri"/>
        <family val="2"/>
        <charset val="1"/>
      </rPr>
      <t xml:space="preserve">711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</si>
  <si>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711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</si>
  <si>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20260120000357</t>
  </si>
  <si>
    <t xml:space="preserve">https://dart.fss.or.kr/dsaf001/main.do?rcpNo=20260120000357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</si>
  <si>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648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</si>
  <si>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795,824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2026-07-23</t>
    </r>
  </si>
  <si>
    <r>
      <rPr>
        <sz val="11"/>
        <color theme="1"/>
        <rFont val="Calibri"/>
        <family val="2"/>
        <charset val="1"/>
      </rPr>
      <t xml:space="preserve">648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</si>
  <si>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648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</si>
  <si>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20260608000434</t>
  </si>
  <si>
    <t xml:space="preserve">https://dart.fss.or.kr/dsaf001/main.do?rcpNo=20260608000434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</si>
  <si>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643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</si>
  <si>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1,700,000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2025-08-18</t>
    </r>
  </si>
  <si>
    <r>
      <rPr>
        <sz val="11"/>
        <color theme="1"/>
        <rFont val="Calibri"/>
        <family val="2"/>
        <charset val="1"/>
      </rPr>
      <t xml:space="preserve">643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</si>
  <si>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643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</si>
  <si>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20250821000484</t>
  </si>
  <si>
    <t xml:space="preserve">https://dart.fss.or.kr/dsaf001/main.do?rcpNo=20250821000484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</si>
  <si>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571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</si>
  <si>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275,909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2025-10-16</t>
    </r>
  </si>
  <si>
    <r>
      <rPr>
        <sz val="11"/>
        <color theme="1"/>
        <rFont val="Calibri"/>
        <family val="2"/>
        <charset val="1"/>
      </rPr>
      <t xml:space="preserve">571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</si>
  <si>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571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</si>
  <si>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20251015000285</t>
  </si>
  <si>
    <t xml:space="preserve">https://dart.fss.or.kr/dsaf001/main.do?rcpNo=20251015000285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</si>
  <si>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532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</si>
  <si>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242,050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2026-02-28</t>
    </r>
  </si>
  <si>
    <r>
      <rPr>
        <sz val="11"/>
        <color theme="1"/>
        <rFont val="Calibri"/>
        <family val="2"/>
        <charset val="1"/>
      </rPr>
      <t xml:space="preserve">532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</si>
  <si>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532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</si>
  <si>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20260123000504</t>
  </si>
  <si>
    <t xml:space="preserve">https://dart.fss.or.kr/dsaf001/main.do?rcpNo=20260123000504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</si>
  <si>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</si>
  <si>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1,705,786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2026-03-03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</si>
  <si>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</si>
  <si>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20260227008128</t>
  </si>
  <si>
    <t xml:space="preserve">https://dart.fss.or.kr/dsaf001/main.do?rcpNo=20260227008128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</si>
  <si>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464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</si>
  <si>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1,211,886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2025-12-24</t>
    </r>
  </si>
  <si>
    <r>
      <rPr>
        <sz val="11"/>
        <color theme="1"/>
        <rFont val="Calibri"/>
        <family val="2"/>
        <charset val="1"/>
      </rPr>
      <t xml:space="preserve">464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</si>
  <si>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464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</si>
  <si>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20251222000346</t>
  </si>
  <si>
    <t xml:space="preserve">https://dart.fss.or.kr/dsaf001/main.do?rcpNo=20251222000346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</si>
  <si>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429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</si>
  <si>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1,888,017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2026-04-16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</si>
  <si>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429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</si>
  <si>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20260415000001</t>
  </si>
  <si>
    <t xml:space="preserve">https://dart.fss.or.kr/dsaf001/main.do?rcpNo=20260415000001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</si>
  <si>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419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</si>
  <si>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1,345,875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2025-12-17</t>
    </r>
  </si>
  <si>
    <r>
      <rPr>
        <sz val="11"/>
        <color theme="1"/>
        <rFont val="Calibri"/>
        <family val="2"/>
        <charset val="1"/>
      </rPr>
      <t xml:space="preserve">419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</si>
  <si>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419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</si>
  <si>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20251208000359</t>
  </si>
  <si>
    <t xml:space="preserve">https://dart.fss.or.kr/dsaf001/main.do?rcpNo=20251208000359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</si>
  <si>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</si>
  <si>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2,388,642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2025-12-08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</si>
  <si>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</si>
  <si>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</si>
  <si>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20251128001922</t>
  </si>
  <si>
    <t xml:space="preserve">https://dart.fss.or.kr/dsaf001/main.do?rcpNo=20251128001922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</si>
  <si>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</si>
  <si>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1,032,720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2026-07-25</t>
    </r>
  </si>
  <si>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</si>
  <si>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</si>
  <si>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20260625000469</t>
  </si>
  <si>
    <t xml:space="preserve">https://dart.fss.or.kr/dsaf001/main.do?rcpNo=20260625000469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</si>
  <si>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366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</si>
  <si>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156,646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2026-01-30</t>
    </r>
  </si>
  <si>
    <r>
      <rPr>
        <sz val="11"/>
        <color theme="1"/>
        <rFont val="Calibri"/>
        <family val="2"/>
        <charset val="1"/>
      </rPr>
      <t xml:space="preserve">366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</si>
  <si>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366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</si>
  <si>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20260123000377</t>
  </si>
  <si>
    <t xml:space="preserve">https://dart.fss.or.kr/dsaf001/main.do?rcpNo=20260123000377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</si>
  <si>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351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</si>
  <si>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1,292,917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2025-08-26</t>
    </r>
  </si>
  <si>
    <r>
      <rPr>
        <sz val="11"/>
        <color theme="1"/>
        <rFont val="Calibri"/>
        <family val="2"/>
        <charset val="1"/>
      </rPr>
      <t xml:space="preserve">351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</si>
  <si>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351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</si>
  <si>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20250811000549</t>
  </si>
  <si>
    <t xml:space="preserve">https://dart.fss.or.kr/dsaf001/main.do?rcpNo=20250811000549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</si>
  <si>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</si>
  <si>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200,000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2025-09-19</t>
    </r>
  </si>
  <si>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</si>
  <si>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</si>
  <si>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20250827000610</t>
  </si>
  <si>
    <t xml:space="preserve">https://dart.fss.or.kr/dsaf001/main.do?rcpNo=20250827000610</t>
  </si>
  <si>
    <r>
      <rPr>
        <sz val="11"/>
        <color theme="1"/>
        <rFont val="Calibri"/>
        <family val="2"/>
        <charset val="1"/>
      </rPr>
      <t xml:space="preserve">313,050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2026-07-09</t>
    </r>
  </si>
  <si>
    <t xml:space="preserve">20260708000354</t>
  </si>
  <si>
    <t xml:space="preserve">https://dart.fss.or.kr/dsaf001/main.do?rcpNo=20260708000354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</si>
  <si>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310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</si>
  <si>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732,723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2026-04-13</t>
    </r>
  </si>
  <si>
    <r>
      <rPr>
        <sz val="11"/>
        <color theme="1"/>
        <rFont val="Calibri"/>
        <family val="2"/>
        <charset val="1"/>
      </rPr>
      <t xml:space="preserve">310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</si>
  <si>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310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</si>
  <si>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20260403002591</t>
  </si>
  <si>
    <t xml:space="preserve">https://dart.fss.or.kr/dsaf001/main.do?rcpNo=20260403002591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</si>
  <si>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299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</si>
  <si>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2,973,233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</si>
  <si>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299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</si>
  <si>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299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</si>
  <si>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2026-02-28</t>
  </si>
  <si>
    <t xml:space="preserve">20260119000184</t>
  </si>
  <si>
    <t xml:space="preserve">https://dart.fss.or.kr/dsaf001/main.do?rcpNo=20260119000184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</si>
  <si>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241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</si>
  <si>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4,031,000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2026-02-13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</si>
  <si>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241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</si>
  <si>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20260211000303</t>
  </si>
  <si>
    <t xml:space="preserve">https://dart.fss.or.kr/dsaf001/main.do?rcpNo=20260211000303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</si>
  <si>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228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</si>
  <si>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205,208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2025-10-02</t>
    </r>
  </si>
  <si>
    <r>
      <rPr>
        <sz val="11"/>
        <color theme="1"/>
        <rFont val="Calibri"/>
        <family val="2"/>
        <charset val="1"/>
      </rPr>
      <t xml:space="preserve">228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</si>
  <si>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228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</si>
  <si>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20251001000687</t>
  </si>
  <si>
    <t xml:space="preserve">https://dart.fss.or.kr/dsaf001/main.do?rcpNo=20251001000687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</si>
  <si>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</si>
  <si>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198,030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2026-02-13</t>
    </r>
  </si>
  <si>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</si>
  <si>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</si>
  <si>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20260212001688</t>
  </si>
  <si>
    <t xml:space="preserve">https://dart.fss.or.kr/dsaf001/main.do?rcpNo=20260212001688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</si>
  <si>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198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</si>
  <si>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492,790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2025-12-04</t>
    </r>
  </si>
  <si>
    <r>
      <rPr>
        <sz val="11"/>
        <color theme="1"/>
        <rFont val="Calibri"/>
        <family val="2"/>
        <charset val="1"/>
      </rPr>
      <t xml:space="preserve">198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</si>
  <si>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198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</si>
  <si>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20251203000257</t>
  </si>
  <si>
    <t xml:space="preserve">https://dart.fss.or.kr/dsaf001/main.do?rcpNo=20251203000257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</si>
  <si>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186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</si>
  <si>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450,542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시간외대량매매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2,493,005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신사업 확대 및 신기술 도입을 위한 경영상 활용 목적</t>
    </r>
  </si>
  <si>
    <r>
      <rPr>
        <sz val="11"/>
        <color theme="1"/>
        <rFont val="Calibri"/>
        <family val="2"/>
        <charset val="1"/>
      </rPr>
      <t xml:space="preserve">186</t>
    </r>
    <r>
      <rPr>
        <sz val="11"/>
        <color theme="1"/>
        <rFont val="나눔고딕"/>
        <family val="2"/>
      </rPr>
      <t xml:space="preserve">억원</t>
    </r>
  </si>
  <si>
    <t xml:space="preserve">처분 예정</t>
  </si>
  <si>
    <t xml:space="preserve">2026-08-13</t>
  </si>
  <si>
    <r>
      <rPr>
        <sz val="11"/>
        <color theme="1"/>
        <rFont val="Calibri"/>
        <family val="2"/>
        <charset val="1"/>
      </rPr>
      <t xml:space="preserve">186</t>
    </r>
    <r>
      <rPr>
        <sz val="11"/>
        <color theme="1"/>
        <rFont val="나눔고딕"/>
        <family val="2"/>
      </rPr>
      <t xml:space="preserve">억원 블록딜 주관 제안</t>
    </r>
  </si>
  <si>
    <t xml:space="preserve">20260513000772</t>
  </si>
  <si>
    <t xml:space="preserve">https://dart.fss.or.kr/dsaf001/main.do?rcpNo=20260513000772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</si>
  <si>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</si>
  <si>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320,000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2,828,445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 행사에 따른 자기주식 교부</t>
    </r>
  </si>
  <si>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나눔고딕"/>
        <family val="2"/>
      </rPr>
      <t xml:space="preserve">억원</t>
    </r>
  </si>
  <si>
    <t xml:space="preserve">2033-06-13</t>
  </si>
  <si>
    <t xml:space="preserve">처분 방식 검토 및 블록딜 주관 제안</t>
  </si>
  <si>
    <t xml:space="preserve">20260310003117</t>
  </si>
  <si>
    <t xml:space="preserve">https://dart.fss.or.kr/dsaf001/main.do?rcpNo=20260310003117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</si>
  <si>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148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</si>
  <si>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1,200,000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2025-12-19</t>
    </r>
  </si>
  <si>
    <r>
      <rPr>
        <sz val="11"/>
        <color theme="1"/>
        <rFont val="Calibri"/>
        <family val="2"/>
        <charset val="1"/>
      </rPr>
      <t xml:space="preserve">148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</si>
  <si>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148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</si>
  <si>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20251208000240</t>
  </si>
  <si>
    <t xml:space="preserve">https://dart.fss.or.kr/dsaf001/main.do?rcpNo=20251208000240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</si>
  <si>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142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</si>
  <si>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114,209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1,642,984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주식매수선택권의 최초행사에 따른 동일 주주총회 부여물량 전체 공시</t>
    </r>
  </si>
  <si>
    <r>
      <rPr>
        <sz val="11"/>
        <color theme="1"/>
        <rFont val="Calibri"/>
        <family val="2"/>
        <charset val="1"/>
      </rPr>
      <t xml:space="preserve">142</t>
    </r>
    <r>
      <rPr>
        <sz val="11"/>
        <color theme="1"/>
        <rFont val="나눔고딕"/>
        <family val="2"/>
      </rPr>
      <t xml:space="preserve">억원</t>
    </r>
  </si>
  <si>
    <t xml:space="preserve">2027-03-30</t>
  </si>
  <si>
    <t xml:space="preserve">20260513000549</t>
  </si>
  <si>
    <t xml:space="preserve">https://dart.fss.or.kr/dsaf001/main.do?rcpNo=20260513000549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</si>
  <si>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136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</si>
  <si>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661,509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2026-02-24</t>
    </r>
  </si>
  <si>
    <r>
      <rPr>
        <sz val="11"/>
        <color theme="1"/>
        <rFont val="Calibri"/>
        <family val="2"/>
        <charset val="1"/>
      </rPr>
      <t xml:space="preserve">136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</si>
  <si>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136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</si>
  <si>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20260223003970</t>
  </si>
  <si>
    <t xml:space="preserve">https://dart.fss.or.kr/dsaf001/main.do?rcpNo=20260223003970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</si>
  <si>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</si>
  <si>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146,515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2026-01-21</t>
    </r>
  </si>
  <si>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</si>
  <si>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</si>
  <si>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20251021000285</t>
  </si>
  <si>
    <t xml:space="preserve">https://dart.fss.or.kr/dsaf001/main.do?rcpNo=20251021000285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</si>
  <si>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</si>
  <si>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297,303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2026-02-13</t>
    </r>
  </si>
  <si>
    <r>
      <rPr>
        <sz val="11"/>
        <color theme="1"/>
        <rFont val="Calibri"/>
        <family val="2"/>
        <charset val="1"/>
      </rPr>
      <t xml:space="preserve">119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</si>
  <si>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</si>
  <si>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20251217000030</t>
  </si>
  <si>
    <t xml:space="preserve">https://dart.fss.or.kr/dsaf001/main.do?rcpNo=20251217000030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</si>
  <si>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117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</si>
  <si>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443,988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</si>
  <si>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117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</si>
  <si>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117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</si>
  <si>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20260330001327</t>
  </si>
  <si>
    <t xml:space="preserve">https://dart.fss.or.kr/dsaf001/main.do?rcpNo=20260330001327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</si>
  <si>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112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</si>
  <si>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488,967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2025-12-29</t>
    </r>
  </si>
  <si>
    <r>
      <rPr>
        <sz val="11"/>
        <color theme="1"/>
        <rFont val="Calibri"/>
        <family val="2"/>
        <charset val="1"/>
      </rPr>
      <t xml:space="preserve">112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</si>
  <si>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112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</si>
  <si>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20260416000501</t>
  </si>
  <si>
    <t xml:space="preserve">https://dart.fss.or.kr/dsaf001/main.do?rcpNo=20260416000501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</si>
  <si>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</si>
  <si>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142,263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2026-02-25</t>
    </r>
  </si>
  <si>
    <r>
      <rPr>
        <sz val="11"/>
        <color theme="1"/>
        <rFont val="Calibri"/>
        <family val="2"/>
        <charset val="1"/>
      </rPr>
      <t xml:space="preserve">111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</si>
  <si>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111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</si>
  <si>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20260211000987</t>
  </si>
  <si>
    <t xml:space="preserve">https://dart.fss.or.kr/dsaf001/main.do?rcpNo=20260211000987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</si>
  <si>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102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</si>
  <si>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748,503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</si>
  <si>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102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</si>
  <si>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102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</si>
  <si>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2024-06-30</t>
  </si>
  <si>
    <t xml:space="preserve">20250925000534</t>
  </si>
  <si>
    <t xml:space="preserve">https://dart.fss.or.kr/dsaf001/main.do?rcpNo=20250925000534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</si>
  <si>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</si>
  <si>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93,837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2026-04-30</t>
    </r>
  </si>
  <si>
    <r>
      <rPr>
        <sz val="11"/>
        <color theme="1"/>
        <rFont val="Calibri"/>
        <family val="2"/>
        <charset val="1"/>
      </rPr>
      <t xml:space="preserve">99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</si>
  <si>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</si>
  <si>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20260401004974</t>
  </si>
  <si>
    <t xml:space="preserve">https://dart.fss.or.kr/dsaf001/main.do?rcpNo=20260401004974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</si>
  <si>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93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</si>
  <si>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110,000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467,296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자기주식 교부형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최초행사 예정에 따라 동일 주주총회 부여물량 전체 공시</t>
    </r>
  </si>
  <si>
    <r>
      <rPr>
        <sz val="11"/>
        <color theme="1"/>
        <rFont val="Calibri"/>
        <family val="2"/>
        <charset val="1"/>
      </rPr>
      <t xml:space="preserve">93</t>
    </r>
    <r>
      <rPr>
        <sz val="11"/>
        <color theme="1"/>
        <rFont val="나눔고딕"/>
        <family val="2"/>
      </rPr>
      <t xml:space="preserve">억원</t>
    </r>
  </si>
  <si>
    <t xml:space="preserve">2029-12-31</t>
  </si>
  <si>
    <t xml:space="preserve">20260518000335</t>
  </si>
  <si>
    <t xml:space="preserve">https://dart.fss.or.kr/dsaf001/main.do?rcpNo=20260518000335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</si>
  <si>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</si>
  <si>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74,478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2025-11-28</t>
    </r>
  </si>
  <si>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</si>
  <si>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</si>
  <si>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20251119000286</t>
  </si>
  <si>
    <t xml:space="preserve">https://dart.fss.or.kr/dsaf001/main.do?rcpNo=20251119000286</t>
  </si>
  <si>
    <r>
      <rPr>
        <sz val="11"/>
        <color theme="1"/>
        <rFont val="Calibri"/>
        <family val="2"/>
        <charset val="1"/>
      </rPr>
      <t xml:space="preserve">71,865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2026-02-27</t>
    </r>
  </si>
  <si>
    <t xml:space="preserve">20251118000105</t>
  </si>
  <si>
    <t xml:space="preserve">https://dart.fss.or.kr/dsaf001/main.do?rcpNo=20251118000105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</si>
  <si>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</si>
  <si>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2,333,000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2025-12-19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</si>
  <si>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</si>
  <si>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20251218000442</t>
  </si>
  <si>
    <t xml:space="preserve">https://dart.fss.or.kr/dsaf001/main.do?rcpNo=20251218000442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</si>
  <si>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68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</si>
  <si>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1,707,851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2025-12-29</t>
    </r>
  </si>
  <si>
    <r>
      <rPr>
        <sz val="11"/>
        <color theme="1"/>
        <rFont val="Calibri"/>
        <family val="2"/>
        <charset val="1"/>
      </rPr>
      <t xml:space="preserve">68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</si>
  <si>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68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</si>
  <si>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20251226000006</t>
  </si>
  <si>
    <t xml:space="preserve">https://dart.fss.or.kr/dsaf001/main.do?rcpNo=20251226000006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</si>
  <si>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</si>
  <si>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32,520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1,214,650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직원 주식보상</t>
    </r>
  </si>
  <si>
    <t xml:space="preserve">2026-08-14</t>
  </si>
  <si>
    <t xml:space="preserve">20260715000510</t>
  </si>
  <si>
    <t xml:space="preserve">https://dart.fss.or.kr/dsaf001/main.do?rcpNo=20260715000510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</si>
  <si>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</si>
  <si>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10,402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- </t>
    </r>
    <r>
      <rPr>
        <sz val="11"/>
        <color theme="1"/>
        <rFont val="나눔고딕"/>
        <family val="2"/>
      </rPr>
      <t xml:space="preserve">임직원에 대한 생산성 장려금</t>
    </r>
    <r>
      <rPr>
        <sz val="11"/>
        <color theme="1"/>
        <rFont val="Calibri"/>
        <family val="2"/>
        <charset val="1"/>
      </rPr>
      <t xml:space="preserve">(PI) </t>
    </r>
    <r>
      <rPr>
        <sz val="11"/>
        <color theme="1"/>
        <rFont val="나눔고딕"/>
        <family val="2"/>
      </rPr>
      <t xml:space="preserve">자기주식 지급</t>
    </r>
    <r>
      <rPr>
        <sz val="11"/>
        <color theme="1"/>
        <rFont val="Calibri"/>
        <family val="2"/>
        <charset val="1"/>
      </rPr>
      <t xml:space="preserve">(RSA) - </t>
    </r>
    <r>
      <rPr>
        <sz val="11"/>
        <color theme="1"/>
        <rFont val="나눔고딕"/>
        <family val="2"/>
      </rPr>
      <t xml:space="preserve">중대 성과 기여 인센티브 자기주식 지급</t>
    </r>
    <r>
      <rPr>
        <sz val="11"/>
        <color theme="1"/>
        <rFont val="Calibri"/>
        <family val="2"/>
        <charset val="1"/>
      </rPr>
      <t xml:space="preserve">(RSU)</t>
    </r>
  </si>
  <si>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나눔고딕"/>
        <family val="2"/>
      </rPr>
      <t xml:space="preserve">억원</t>
    </r>
  </si>
  <si>
    <t xml:space="preserve">2026-08-28</t>
  </si>
  <si>
    <t xml:space="preserve">20260728000463</t>
  </si>
  <si>
    <t xml:space="preserve">https://dart.fss.or.kr/dsaf001/main.do?rcpNo=20260728000463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</si>
  <si>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</si>
  <si>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28,317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128,603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임직원에 대한 상여금으로 자기주식을 지급</t>
    </r>
  </si>
  <si>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나눔고딕"/>
        <family val="2"/>
      </rPr>
      <t xml:space="preserve">억원</t>
    </r>
  </si>
  <si>
    <t xml:space="preserve">2026-08-25</t>
  </si>
  <si>
    <t xml:space="preserve">20260730000286</t>
  </si>
  <si>
    <t xml:space="preserve">https://dart.fss.or.kr/dsaf001/main.do?rcpNo=20260730000286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</si>
  <si>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</si>
  <si>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666,266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2025-12-23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</si>
  <si>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</si>
  <si>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20251223000254</t>
  </si>
  <si>
    <t xml:space="preserve">https://dart.fss.or.kr/dsaf001/main.do?rcpNo=20251223000254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</si>
  <si>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</si>
  <si>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66,287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350,426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 행사에 따른 자기주식 교부</t>
    </r>
  </si>
  <si>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나눔고딕"/>
        <family val="2"/>
      </rPr>
      <t xml:space="preserve">억원</t>
    </r>
  </si>
  <si>
    <t xml:space="preserve">2033-03-29</t>
  </si>
  <si>
    <t xml:space="preserve">20260109000629</t>
  </si>
  <si>
    <t xml:space="preserve">https://dart.fss.or.kr/dsaf001/main.do?rcpNo=20260109000629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</si>
  <si>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</si>
  <si>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302,240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 행사에 따른 자기주식 교부</t>
    </r>
  </si>
  <si>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나눔고딕"/>
        <family val="2"/>
      </rPr>
      <t xml:space="preserve">억원</t>
    </r>
  </si>
  <si>
    <t xml:space="preserve">2029-11-27</t>
  </si>
  <si>
    <t xml:space="preserve">20251218000425</t>
  </si>
  <si>
    <t xml:space="preserve">https://dart.fss.or.kr/dsaf001/main.do?rcpNo=20251218000425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</si>
  <si>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</si>
  <si>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90,000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1,684,066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직원 성과급 등의 자기주식 지급</t>
    </r>
  </si>
  <si>
    <t xml:space="preserve">2026-09-23</t>
  </si>
  <si>
    <t xml:space="preserve">20260806000400</t>
  </si>
  <si>
    <t xml:space="preserve">https://dart.fss.or.kr/dsaf001/main.do?rcpNo=20260806000400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</si>
  <si>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</si>
  <si>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1,123,451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2026-02-20</t>
    </r>
  </si>
  <si>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</si>
  <si>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</si>
  <si>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20260212001432</t>
  </si>
  <si>
    <t xml:space="preserve">https://dart.fss.or.kr/dsaf001/main.do?rcpNo=20260212001432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</si>
  <si>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</si>
  <si>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268,260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2026-02-13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</si>
  <si>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</si>
  <si>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</si>
  <si>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20260204000383</t>
  </si>
  <si>
    <t xml:space="preserve">https://dart.fss.or.kr/dsaf001/main.do?rcpNo=20260204000383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</si>
  <si>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</si>
  <si>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684,000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2025-09-19</t>
    </r>
  </si>
  <si>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</si>
  <si>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</si>
  <si>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20250911000394</t>
  </si>
  <si>
    <t xml:space="preserve">https://dart.fss.or.kr/dsaf001/main.do?rcpNo=20250911000394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</si>
  <si>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</si>
  <si>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131,570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2026-01-15</t>
    </r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</si>
  <si>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</si>
  <si>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</si>
  <si>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20251224000465</t>
  </si>
  <si>
    <t xml:space="preserve">https://dart.fss.or.kr/dsaf001/main.do?rcpNo=20251224000465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</si>
  <si>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</si>
  <si>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40,844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임직원에 대한 생산성 장려금</t>
    </r>
    <r>
      <rPr>
        <sz val="11"/>
        <color theme="1"/>
        <rFont val="Calibri"/>
        <family val="2"/>
        <charset val="1"/>
      </rPr>
      <t xml:space="preserve">(PI) </t>
    </r>
    <r>
      <rPr>
        <sz val="11"/>
        <color theme="1"/>
        <rFont val="나눔고딕"/>
        <family val="2"/>
      </rPr>
      <t xml:space="preserve">및 중대 성과 기여 인센티브 자기주식 지급</t>
    </r>
  </si>
  <si>
    <t xml:space="preserve">20260728000479</t>
  </si>
  <si>
    <t xml:space="preserve">https://dart.fss.or.kr/dsaf001/main.do?rcpNo=20260728000479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</si>
  <si>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</si>
  <si>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640,500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2025-11-09</t>
    </r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</si>
  <si>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</si>
  <si>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</si>
  <si>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20250808000498</t>
  </si>
  <si>
    <t xml:space="preserve">https://dart.fss.or.kr/dsaf001/main.do?rcpNo=20250808000498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</si>
  <si>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</si>
  <si>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713,457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2026-04-15</t>
    </r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</si>
  <si>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</si>
  <si>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</si>
  <si>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20260115000402</t>
  </si>
  <si>
    <t xml:space="preserve">https://dart.fss.or.kr/dsaf001/main.do?rcpNo=20260115000402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</si>
  <si>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</si>
  <si>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1,500,400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 행사에 따른 자기주식 교부</t>
    </r>
  </si>
  <si>
    <t xml:space="preserve">2027-02-14</t>
  </si>
  <si>
    <t xml:space="preserve">20251104000314</t>
  </si>
  <si>
    <t xml:space="preserve">https://dart.fss.or.kr/dsaf001/main.do?rcpNo=20251104000314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</si>
  <si>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</si>
  <si>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162,530</t>
    </r>
    <r>
      <rPr>
        <sz val="11"/>
        <color theme="1"/>
        <rFont val="나눔고딕"/>
        <family val="2"/>
      </rPr>
      <t xml:space="preserve">주 보유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최근 처분 </t>
    </r>
    <r>
      <rPr>
        <sz val="11"/>
        <color theme="1"/>
        <rFont val="Calibri"/>
        <family val="2"/>
        <charset val="1"/>
      </rPr>
      <t xml:space="preserve">2026-06-02</t>
    </r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</si>
  <si>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</si>
  <si>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</si>
  <si>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20260303003144</t>
  </si>
  <si>
    <t xml:space="preserve">https://dart.fss.or.kr/dsaf001/main.do?rcpNo=20260303003144</t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</si>
  <si>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억원 처분 여력</t>
    </r>
  </si>
  <si>
    <r>
      <rPr>
        <sz val="11"/>
        <color theme="1"/>
        <rFont val="Calibri"/>
        <family val="2"/>
        <charset val="1"/>
      </rPr>
      <t xml:space="preserve">139,475</t>
    </r>
    <r>
      <rPr>
        <sz val="11"/>
        <color theme="1"/>
        <rFont val="나눔고딕"/>
        <family val="2"/>
      </rPr>
      <t xml:space="preserve">주 보유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</si>
  <si>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</si>
  <si>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억원 처분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소각 방안 및 블록딜 주관 제안</t>
    </r>
  </si>
  <si>
    <t xml:space="preserve">20260109000030</t>
  </si>
  <si>
    <t xml:space="preserve">https://dart.fss.or.kr/dsaf001/main.do?rcpNo=20260109000030</t>
  </si>
  <si>
    <r>
      <rPr>
        <sz val="11"/>
        <color theme="1"/>
        <rFont val="나눔고딕"/>
        <family val="2"/>
      </rPr>
      <t xml:space="preserve">자사주 처분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나눔고딕"/>
        <family val="2"/>
      </rPr>
      <t xml:space="preserve">억원 예정</t>
    </r>
  </si>
  <si>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기타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 자사주 </t>
    </r>
    <r>
      <rPr>
        <sz val="11"/>
        <color theme="1"/>
        <rFont val="Calibri"/>
        <family val="2"/>
        <charset val="1"/>
      </rPr>
      <t xml:space="preserve">144,402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주식매수선택권 행사에 따른 자기주식 교부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</si>
  <si>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나눔고딕"/>
        <family val="2"/>
      </rPr>
      <t xml:space="preserve">억원</t>
    </r>
  </si>
  <si>
    <t xml:space="preserve">2026-12-17</t>
  </si>
  <si>
    <t xml:space="preserve">20260721000875</t>
  </si>
  <si>
    <t xml:space="preserve">https://dart.fss.or.kr/dsaf001/main.do?rcpNo=20260721000875</t>
  </si>
  <si>
    <t xml:space="preserve">주식담보대출 — 영업 대상</t>
  </si>
  <si>
    <r>
      <rPr>
        <sz val="9"/>
        <color rgb="FF6B7280"/>
        <rFont val="나눔고딕"/>
        <family val="2"/>
      </rPr>
      <t xml:space="preserve">대주주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특수관계인 담보대출 영업 </t>
    </r>
    <r>
      <rPr>
        <sz val="9"/>
        <color rgb="FF6B7280"/>
        <rFont val="Cambria"/>
        <family val="0"/>
        <charset val="1"/>
      </rPr>
      <t xml:space="preserve">· 55/100</t>
    </r>
    <r>
      <rPr>
        <sz val="9"/>
        <color rgb="FF6B7280"/>
        <rFont val="나눔고딕"/>
        <family val="2"/>
      </rPr>
      <t xml:space="preserve">개사 해당 </t>
    </r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시간 열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계약 만기 </t>
    </r>
    <r>
      <rPr>
        <sz val="9"/>
        <color rgb="FF6B7280"/>
        <rFont val="Cambria"/>
        <family val="0"/>
        <charset val="1"/>
      </rPr>
      <t xml:space="preserve">/ D-day</t>
    </r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</si>
  <si>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</si>
  <si>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3,520,278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증권㈜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㈜하나은행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티케이지태광㈜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하나증권㈜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김록희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유미개발㈜ 외</t>
    </r>
  </si>
  <si>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나눔고딕"/>
        <family val="2"/>
      </rPr>
      <t xml:space="preserve">조원</t>
    </r>
  </si>
  <si>
    <t xml:space="preserve">대출금액 공시</t>
  </si>
  <si>
    <t xml:space="preserve">2026-08-31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</si>
  <si>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나눔고딕"/>
        <family val="2"/>
      </rPr>
      <t xml:space="preserve">조원 리파이낸싱 제안</t>
    </r>
  </si>
  <si>
    <t xml:space="preserve">20260520000264</t>
  </si>
  <si>
    <t xml:space="preserve">https://dart.fss.or.kr/dsaf001/main.do?rcpNo=20260520000264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</si>
  <si>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</si>
  <si>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91,836,088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)KB</t>
    </r>
    <r>
      <rPr>
        <sz val="11"/>
        <color theme="1"/>
        <rFont val="나눔고딕"/>
        <family val="2"/>
      </rPr>
      <t xml:space="preserve">국민은행</t>
    </r>
    <r>
      <rPr>
        <sz val="11"/>
        <color theme="1"/>
        <rFont val="Calibri"/>
        <family val="2"/>
        <charset val="1"/>
      </rPr>
      <t xml:space="preserve">, 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신한은행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두산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</si>
  <si>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나눔고딕"/>
        <family val="2"/>
      </rPr>
      <t xml:space="preserve">조원</t>
    </r>
  </si>
  <si>
    <t xml:space="preserve">대출금액 미공시</t>
  </si>
  <si>
    <t xml:space="preserve">2026-09-28</t>
  </si>
  <si>
    <t xml:space="preserve">만기 도래 담보대출 리파이낸싱 제안</t>
  </si>
  <si>
    <t xml:space="preserve">20260609000428</t>
  </si>
  <si>
    <t xml:space="preserve">https://dart.fss.or.kr/dsaf001/main.do?rcpNo=20260609000428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</si>
  <si>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4.7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</si>
  <si>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81,494,000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BNK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대신증권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이서현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홍라희</t>
    </r>
  </si>
  <si>
    <r>
      <rPr>
        <sz val="11"/>
        <color theme="1"/>
        <rFont val="Calibri"/>
        <family val="2"/>
        <charset val="1"/>
      </rPr>
      <t xml:space="preserve">4.7</t>
    </r>
    <r>
      <rPr>
        <sz val="11"/>
        <color theme="1"/>
        <rFont val="나눔고딕"/>
        <family val="2"/>
      </rPr>
      <t xml:space="preserve">조원</t>
    </r>
  </si>
  <si>
    <t xml:space="preserve">2026-10-02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</si>
  <si>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4.7</t>
    </r>
    <r>
      <rPr>
        <sz val="11"/>
        <color theme="1"/>
        <rFont val="나눔고딕"/>
        <family val="2"/>
      </rPr>
      <t xml:space="preserve">조원 리파이낸싱 제안</t>
    </r>
  </si>
  <si>
    <t xml:space="preserve">20260724000625</t>
  </si>
  <si>
    <t xml:space="preserve">https://dart.fss.or.kr/dsaf001/main.do?rcpNo=20260724000625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</si>
  <si>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</si>
  <si>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293,590,000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엔에이치 투자증권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외 </t>
    </r>
    <r>
      <rPr>
        <sz val="11"/>
        <color theme="1"/>
        <rFont val="Calibri"/>
        <family val="2"/>
        <charset val="1"/>
      </rPr>
      <t xml:space="preserve">42 · </t>
    </r>
    <r>
      <rPr>
        <sz val="11"/>
        <color theme="1"/>
        <rFont val="나눔고딕"/>
        <family val="2"/>
      </rPr>
      <t xml:space="preserve">보유자 한앤코 오토홀딩스 유한회사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</si>
  <si>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나눔고딕"/>
        <family val="2"/>
      </rPr>
      <t xml:space="preserve">조원</t>
    </r>
  </si>
  <si>
    <t xml:space="preserve">만기 미공시</t>
  </si>
  <si>
    <r>
      <rPr>
        <sz val="11"/>
        <color theme="1"/>
        <rFont val="나눔고딕"/>
        <family val="2"/>
      </rPr>
      <t xml:space="preserve">담보대출 신규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증액 또는 연장 조건 제안</t>
    </r>
  </si>
  <si>
    <t xml:space="preserve">20260108000470</t>
  </si>
  <si>
    <t xml:space="preserve">https://dart.fss.or.kr/dsaf001/main.do?rcpNo=20260108000470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</si>
  <si>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3.0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</si>
  <si>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44,087,679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8.6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BNK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KB</t>
    </r>
    <r>
      <rPr>
        <sz val="11"/>
        <color theme="1"/>
        <rFont val="나눔고딕"/>
        <family val="2"/>
      </rPr>
      <t xml:space="preserve">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셀트리온 스킨큐어</t>
    </r>
    <r>
      <rPr>
        <sz val="11"/>
        <color theme="1"/>
        <rFont val="Calibri"/>
        <family val="2"/>
        <charset val="1"/>
      </rPr>
      <t xml:space="preserve">, 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셀트리온 홀딩스 외</t>
    </r>
  </si>
  <si>
    <r>
      <rPr>
        <sz val="11"/>
        <color theme="1"/>
        <rFont val="Calibri"/>
        <family val="2"/>
        <charset val="1"/>
      </rPr>
      <t xml:space="preserve">3.0</t>
    </r>
    <r>
      <rPr>
        <sz val="11"/>
        <color theme="1"/>
        <rFont val="나눔고딕"/>
        <family val="2"/>
      </rPr>
      <t xml:space="preserve">조원</t>
    </r>
  </si>
  <si>
    <t xml:space="preserve">2026-08-15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</si>
  <si>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3.0</t>
    </r>
    <r>
      <rPr>
        <sz val="11"/>
        <color theme="1"/>
        <rFont val="나눔고딕"/>
        <family val="2"/>
      </rPr>
      <t xml:space="preserve">조원 리파이낸싱 제안</t>
    </r>
  </si>
  <si>
    <t xml:space="preserve">20260702000598</t>
  </si>
  <si>
    <t xml:space="preserve">https://dart.fss.or.kr/dsaf001/main.do?rcpNo=20260702000598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</si>
  <si>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</si>
  <si>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50,160,000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3.9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우리은행</t>
    </r>
    <r>
      <rPr>
        <sz val="11"/>
        <color theme="1"/>
        <rFont val="Calibri"/>
        <family val="2"/>
        <charset val="1"/>
      </rPr>
      <t xml:space="preserve">, 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하나은행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두산에너빌리티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</si>
  <si>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나눔고딕"/>
        <family val="2"/>
      </rPr>
      <t xml:space="preserve">조원</t>
    </r>
  </si>
  <si>
    <t xml:space="preserve">20260722000548</t>
  </si>
  <si>
    <t xml:space="preserve">https://dart.fss.or.kr/dsaf001/main.do?rcpNo=20260722000548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</si>
  <si>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</si>
  <si>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13,471,734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광주은행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김남호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김주원 외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</si>
  <si>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나눔고딕"/>
        <family val="2"/>
      </rPr>
      <t xml:space="preserve">조원</t>
    </r>
  </si>
  <si>
    <t xml:space="preserve">20260521000640</t>
  </si>
  <si>
    <t xml:space="preserve">https://dart.fss.or.kr/dsaf001/main.do?rcpNo=20260521000640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</si>
  <si>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</si>
  <si>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11,133,582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삼성증권 주식회사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에프엔헤베 주식회사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Aphrodite Acquisition Holdings LLC</t>
    </r>
  </si>
  <si>
    <t xml:space="preserve">2029-06-17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</si>
  <si>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나눔고딕"/>
        <family val="2"/>
      </rPr>
      <t xml:space="preserve">조원 리파이낸싱 제안</t>
    </r>
  </si>
  <si>
    <t xml:space="preserve">20260702000319</t>
  </si>
  <si>
    <t xml:space="preserve">https://dart.fss.or.kr/dsaf001/main.do?rcpNo=20260702000319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</si>
  <si>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나눔고딕"/>
        <family val="2"/>
      </rPr>
      <t xml:space="preserve">조원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</si>
  <si>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8,929,480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BNK</t>
    </r>
    <r>
      <rPr>
        <sz val="11"/>
        <color theme="1"/>
        <rFont val="나눔고딕"/>
        <family val="2"/>
      </rPr>
      <t xml:space="preserve">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교보증권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CLAIR JAEYUN KOH, </t>
    </r>
    <r>
      <rPr>
        <sz val="11"/>
        <color theme="1"/>
        <rFont val="나눔고딕"/>
        <family val="2"/>
      </rPr>
      <t xml:space="preserve">최기원 외</t>
    </r>
  </si>
  <si>
    <t xml:space="preserve">20260413002952</t>
  </si>
  <si>
    <t xml:space="preserve">https://dart.fss.or.kr/dsaf001/main.do?rcpNo=20260413002952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</si>
  <si>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</si>
  <si>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838,105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9,957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하나증권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나눔고딕"/>
        <family val="2"/>
      </rPr>
      <t xml:space="preserve">하나증권㈜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박상수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박석원 외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</si>
  <si>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9,957</t>
    </r>
    <r>
      <rPr>
        <sz val="11"/>
        <color theme="1"/>
        <rFont val="나눔고딕"/>
        <family val="2"/>
      </rPr>
      <t xml:space="preserve">억원</t>
    </r>
  </si>
  <si>
    <t xml:space="preserve">2026-08-24</t>
  </si>
  <si>
    <t xml:space="preserve">20260305000993</t>
  </si>
  <si>
    <t xml:space="preserve">https://dart.fss.or.kr/dsaf001/main.do?rcpNo=20260305000993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</si>
  <si>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7,875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</si>
  <si>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25,084,669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2.6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BNK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KB</t>
    </r>
    <r>
      <rPr>
        <sz val="11"/>
        <color theme="1"/>
        <rFont val="나눔고딕"/>
        <family val="2"/>
      </rPr>
      <t xml:space="preserve">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데이지파트너스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에코프로</t>
    </r>
  </si>
  <si>
    <r>
      <rPr>
        <sz val="11"/>
        <color theme="1"/>
        <rFont val="Calibri"/>
        <family val="2"/>
        <charset val="1"/>
      </rPr>
      <t xml:space="preserve">7,875</t>
    </r>
    <r>
      <rPr>
        <sz val="11"/>
        <color theme="1"/>
        <rFont val="나눔고딕"/>
        <family val="2"/>
      </rPr>
      <t xml:space="preserve">억원</t>
    </r>
  </si>
  <si>
    <t xml:space="preserve">20260708000072</t>
  </si>
  <si>
    <t xml:space="preserve">https://dart.fss.or.kr/dsaf001/main.do?rcpNo=20260708000072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</si>
  <si>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7,548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</si>
  <si>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15,629,171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증권</t>
    </r>
    <r>
      <rPr>
        <sz val="11"/>
        <color theme="1"/>
        <rFont val="Calibri"/>
        <family val="2"/>
        <charset val="1"/>
      </rPr>
      <t xml:space="preserve">, iM</t>
    </r>
    <r>
      <rPr>
        <sz val="11"/>
        <color theme="1"/>
        <rFont val="나눔고딕"/>
        <family val="2"/>
      </rPr>
      <t xml:space="preserve">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데이지파트너스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이동채 외</t>
    </r>
  </si>
  <si>
    <r>
      <rPr>
        <sz val="11"/>
        <color theme="1"/>
        <rFont val="Calibri"/>
        <family val="2"/>
        <charset val="1"/>
      </rPr>
      <t xml:space="preserve">7,548</t>
    </r>
    <r>
      <rPr>
        <sz val="11"/>
        <color theme="1"/>
        <rFont val="나눔고딕"/>
        <family val="2"/>
      </rPr>
      <t xml:space="preserve">억원</t>
    </r>
  </si>
  <si>
    <t xml:space="preserve">20260713000457</t>
  </si>
  <si>
    <t xml:space="preserve">https://dart.fss.or.kr/dsaf001/main.do?rcpNo=20260713000457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</si>
  <si>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</si>
  <si>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18,292,020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5,859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농협은행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수협은행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)DB Inc., </t>
    </r>
    <r>
      <rPr>
        <sz val="11"/>
        <color theme="1"/>
        <rFont val="나눔고딕"/>
        <family val="2"/>
      </rPr>
      <t xml:space="preserve">김준기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</si>
  <si>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5,859</t>
    </r>
    <r>
      <rPr>
        <sz val="11"/>
        <color theme="1"/>
        <rFont val="나눔고딕"/>
        <family val="2"/>
      </rPr>
      <t xml:space="preserve">억원</t>
    </r>
  </si>
  <si>
    <t xml:space="preserve">20260522000520</t>
  </si>
  <si>
    <t xml:space="preserve">https://dart.fss.or.kr/dsaf001/main.do?rcpNo=20260522000520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</si>
  <si>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5,480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</si>
  <si>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33,454,000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8,832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국민은행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하나은행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피에몬테</t>
    </r>
  </si>
  <si>
    <r>
      <rPr>
        <sz val="11"/>
        <color theme="1"/>
        <rFont val="Calibri"/>
        <family val="2"/>
        <charset val="1"/>
      </rPr>
      <t xml:space="preserve">5,480</t>
    </r>
    <r>
      <rPr>
        <sz val="11"/>
        <color theme="1"/>
        <rFont val="나눔고딕"/>
        <family val="2"/>
      </rPr>
      <t xml:space="preserve">억원</t>
    </r>
  </si>
  <si>
    <t xml:space="preserve">20260617000383</t>
  </si>
  <si>
    <t xml:space="preserve">https://dart.fss.or.kr/dsaf001/main.do?rcpNo=20260617000383</t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</si>
  <si>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12,000,000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4,488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하나은행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이준호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</si>
  <si>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4,488</t>
    </r>
    <r>
      <rPr>
        <sz val="11"/>
        <color theme="1"/>
        <rFont val="나눔고딕"/>
        <family val="2"/>
      </rPr>
      <t xml:space="preserve">억원</t>
    </r>
  </si>
  <si>
    <t xml:space="preserve">2026-12-13</t>
  </si>
  <si>
    <t xml:space="preserve">20251001000754</t>
  </si>
  <si>
    <t xml:space="preserve">https://dart.fss.or.kr/dsaf001/main.do?rcpNo=20251001000754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</si>
  <si>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3,890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</si>
  <si>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2,494,263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9,753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국민은행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신동국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한미사이언스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</si>
  <si>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3,890</t>
    </r>
    <r>
      <rPr>
        <sz val="11"/>
        <color theme="1"/>
        <rFont val="나눔고딕"/>
        <family val="2"/>
      </rPr>
      <t xml:space="preserve">억원</t>
    </r>
  </si>
  <si>
    <t xml:space="preserve">20260121000020</t>
  </si>
  <si>
    <t xml:space="preserve">https://dart.fss.or.kr/dsaf001/main.do?rcpNo=20260121000020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</si>
  <si>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</si>
  <si>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821,463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814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산업은행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김정수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삼양라운드스퀘어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외</t>
    </r>
  </si>
  <si>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나눔고딕"/>
        <family val="2"/>
      </rPr>
      <t xml:space="preserve">억원</t>
    </r>
  </si>
  <si>
    <t xml:space="preserve">20260604000508</t>
  </si>
  <si>
    <t xml:space="preserve">https://dart.fss.or.kr/dsaf001/main.do?rcpNo=20260604000508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</si>
  <si>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2,700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</si>
  <si>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5,172,911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4,211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정용진</t>
    </r>
  </si>
  <si>
    <r>
      <rPr>
        <sz val="11"/>
        <color theme="1"/>
        <rFont val="Calibri"/>
        <family val="2"/>
        <charset val="1"/>
      </rPr>
      <t xml:space="preserve">2,700</t>
    </r>
    <r>
      <rPr>
        <sz val="11"/>
        <color theme="1"/>
        <rFont val="나눔고딕"/>
        <family val="2"/>
      </rPr>
      <t xml:space="preserve">억원</t>
    </r>
  </si>
  <si>
    <t xml:space="preserve">2027-02-11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</si>
  <si>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2,700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</si>
  <si>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20260213002519</t>
  </si>
  <si>
    <t xml:space="preserve">https://dart.fss.or.kr/dsaf001/main.do?rcpNo=20260213002519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</si>
  <si>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</si>
  <si>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7,930,236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6,590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국민은행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우리은행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김동관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김동원 외</t>
    </r>
  </si>
  <si>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나눔고딕"/>
        <family val="2"/>
      </rPr>
      <t xml:space="preserve">억원</t>
    </r>
  </si>
  <si>
    <t xml:space="preserve">2026-11-27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</si>
  <si>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</si>
  <si>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20260723000608</t>
  </si>
  <si>
    <t xml:space="preserve">https://dart.fss.or.kr/dsaf001/main.do?rcpNo=20260723000608</t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</si>
  <si>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6,968,588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2,042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특수관계인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김윤상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</si>
  <si>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2,042</t>
    </r>
    <r>
      <rPr>
        <sz val="11"/>
        <color theme="1"/>
        <rFont val="나눔고딕"/>
        <family val="2"/>
      </rPr>
      <t xml:space="preserve">억원</t>
    </r>
  </si>
  <si>
    <t xml:space="preserve">20260728000233</t>
  </si>
  <si>
    <t xml:space="preserve">https://dart.fss.or.kr/dsaf001/main.do?rcpNo=20260728000233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</si>
  <si>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1,900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</si>
  <si>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2,828,200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6,222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나눔고딕"/>
        <family val="2"/>
      </rPr>
      <t xml:space="preserve">한국증권금융㈜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에스케이디스커버리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나눔고딕"/>
        <family val="2"/>
      </rPr>
      <t xml:space="preserve">에스케이디스커버리㈜</t>
    </r>
  </si>
  <si>
    <r>
      <rPr>
        <sz val="11"/>
        <color theme="1"/>
        <rFont val="Calibri"/>
        <family val="2"/>
        <charset val="1"/>
      </rPr>
      <t xml:space="preserve">1,900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</si>
  <si>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1,900</t>
    </r>
    <r>
      <rPr>
        <sz val="11"/>
        <color theme="1"/>
        <rFont val="나눔고딕"/>
        <family val="2"/>
      </rPr>
      <t xml:space="preserve">억원 리파이낸싱 제안</t>
    </r>
  </si>
  <si>
    <t xml:space="preserve">20251119000211</t>
  </si>
  <si>
    <t xml:space="preserve">https://dart.fss.or.kr/dsaf001/main.do?rcpNo=20251119000211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</si>
  <si>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1,526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</si>
  <si>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6,033,275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6,643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증권</t>
    </r>
    <r>
      <rPr>
        <sz val="11"/>
        <color theme="1"/>
        <rFont val="Calibri"/>
        <family val="2"/>
        <charset val="1"/>
      </rPr>
      <t xml:space="preserve">, NH</t>
    </r>
    <r>
      <rPr>
        <sz val="11"/>
        <color theme="1"/>
        <rFont val="나눔고딕"/>
        <family val="2"/>
      </rPr>
      <t xml:space="preserve">투자증권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㈜새로닉스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허제홍</t>
    </r>
  </si>
  <si>
    <r>
      <rPr>
        <sz val="11"/>
        <color theme="1"/>
        <rFont val="Calibri"/>
        <family val="2"/>
        <charset val="1"/>
      </rPr>
      <t xml:space="preserve">1,526</t>
    </r>
    <r>
      <rPr>
        <sz val="11"/>
        <color theme="1"/>
        <rFont val="나눔고딕"/>
        <family val="2"/>
      </rPr>
      <t xml:space="preserve">억원</t>
    </r>
  </si>
  <si>
    <t xml:space="preserve">2026-08-18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</si>
  <si>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1,526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</si>
  <si>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20260722000471</t>
  </si>
  <si>
    <t xml:space="preserve">https://dart.fss.or.kr/dsaf001/main.do?rcpNo=20260722000471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</si>
  <si>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1,458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</si>
  <si>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9,728,256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3,454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증권</t>
    </r>
    <r>
      <rPr>
        <sz val="11"/>
        <color theme="1"/>
        <rFont val="Calibri"/>
        <family val="2"/>
        <charset val="1"/>
      </rPr>
      <t xml:space="preserve">, NH</t>
    </r>
    <r>
      <rPr>
        <sz val="11"/>
        <color theme="1"/>
        <rFont val="나눔고딕"/>
        <family val="2"/>
      </rPr>
      <t xml:space="preserve">투자증권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고용호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스틱세콰이아홀딩스 유한회사 외</t>
    </r>
  </si>
  <si>
    <r>
      <rPr>
        <sz val="11"/>
        <color theme="1"/>
        <rFont val="Calibri"/>
        <family val="2"/>
        <charset val="1"/>
      </rPr>
      <t xml:space="preserve">1,458</t>
    </r>
    <r>
      <rPr>
        <sz val="11"/>
        <color theme="1"/>
        <rFont val="나눔고딕"/>
        <family val="2"/>
      </rPr>
      <t xml:space="preserve">억원</t>
    </r>
  </si>
  <si>
    <t xml:space="preserve">20260716000812</t>
  </si>
  <si>
    <t xml:space="preserve">https://dart.fss.or.kr/dsaf001/main.do?rcpNo=20260716000812</t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</si>
  <si>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1,280,000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1,346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농협은행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방시혁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</si>
  <si>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1,346</t>
    </r>
    <r>
      <rPr>
        <sz val="11"/>
        <color theme="1"/>
        <rFont val="나눔고딕"/>
        <family val="2"/>
      </rPr>
      <t xml:space="preserve">억원</t>
    </r>
  </si>
  <si>
    <t xml:space="preserve">2027-03-31</t>
  </si>
  <si>
    <t xml:space="preserve">20260521000501</t>
  </si>
  <si>
    <t xml:space="preserve">https://dart.fss.or.kr/dsaf001/main.do?rcpNo=20260521000501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</si>
  <si>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</si>
  <si>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3,400,000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1,186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광주지점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광주지점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정경선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정몽윤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</si>
  <si>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1,186</t>
    </r>
    <r>
      <rPr>
        <sz val="11"/>
        <color theme="1"/>
        <rFont val="나눔고딕"/>
        <family val="2"/>
      </rPr>
      <t xml:space="preserve">억원</t>
    </r>
  </si>
  <si>
    <t xml:space="preserve">20250901000411</t>
  </si>
  <si>
    <t xml:space="preserve">https://dart.fss.or.kr/dsaf001/main.do?rcpNo=20250901000411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</si>
  <si>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1,166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</si>
  <si>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3,336,000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1,037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· </t>
    </r>
    <r>
      <rPr>
        <sz val="11"/>
        <color theme="1"/>
        <rFont val="나눔고딕"/>
        <family val="2"/>
      </rPr>
      <t xml:space="preserve">보유자 서경배</t>
    </r>
  </si>
  <si>
    <r>
      <rPr>
        <sz val="11"/>
        <color theme="1"/>
        <rFont val="Calibri"/>
        <family val="2"/>
        <charset val="1"/>
      </rPr>
      <t xml:space="preserve">1,166</t>
    </r>
    <r>
      <rPr>
        <sz val="11"/>
        <color theme="1"/>
        <rFont val="나눔고딕"/>
        <family val="2"/>
      </rPr>
      <t xml:space="preserve">억원</t>
    </r>
  </si>
  <si>
    <t xml:space="preserve">2027-05-23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</si>
  <si>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1,166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</si>
  <si>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20260522000377</t>
  </si>
  <si>
    <t xml:space="preserve">https://dart.fss.or.kr/dsaf001/main.do?rcpNo=20260522000377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</si>
  <si>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1,142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</si>
  <si>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16,177,912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나눔고딕"/>
        <family val="2"/>
      </rPr>
      <t xml:space="preserve">조원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 주식회사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대신증권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김희준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임성아 외</t>
    </r>
  </si>
  <si>
    <r>
      <rPr>
        <sz val="11"/>
        <color theme="1"/>
        <rFont val="Calibri"/>
        <family val="2"/>
        <charset val="1"/>
      </rPr>
      <t xml:space="preserve">1,142</t>
    </r>
    <r>
      <rPr>
        <sz val="11"/>
        <color theme="1"/>
        <rFont val="나눔고딕"/>
        <family val="2"/>
      </rPr>
      <t xml:space="preserve">억원</t>
    </r>
  </si>
  <si>
    <t xml:space="preserve">20260710000645</t>
  </si>
  <si>
    <t xml:space="preserve">https://dart.fss.or.kr/dsaf001/main.do?rcpNo=20260710000645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</si>
  <si>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1,087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</si>
  <si>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6,016,538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2,542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김성권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김승연 외</t>
    </r>
  </si>
  <si>
    <r>
      <rPr>
        <sz val="11"/>
        <color theme="1"/>
        <rFont val="Calibri"/>
        <family val="2"/>
        <charset val="1"/>
      </rPr>
      <t xml:space="preserve">1,087</t>
    </r>
    <r>
      <rPr>
        <sz val="11"/>
        <color theme="1"/>
        <rFont val="나눔고딕"/>
        <family val="2"/>
      </rPr>
      <t xml:space="preserve">억원</t>
    </r>
  </si>
  <si>
    <t xml:space="preserve">20260720000277</t>
  </si>
  <si>
    <t xml:space="preserve">https://dart.fss.or.kr/dsaf001/main.do?rcpNo=20260720000277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</si>
  <si>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</si>
  <si>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6,598,870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2,049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국민은행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신한은행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고영홀딩스</t>
    </r>
  </si>
  <si>
    <t xml:space="preserve">2027-07-15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</si>
  <si>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</si>
  <si>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20260723000436</t>
  </si>
  <si>
    <t xml:space="preserve">https://dart.fss.or.kr/dsaf001/main.do?rcpNo=20260723000436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</si>
  <si>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1,040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</si>
  <si>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6,587,122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3,116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, KB</t>
    </r>
    <r>
      <rPr>
        <sz val="11"/>
        <color theme="1"/>
        <rFont val="나눔고딕"/>
        <family val="2"/>
      </rPr>
      <t xml:space="preserve">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다솜테크</t>
    </r>
    <r>
      <rPr>
        <sz val="11"/>
        <color theme="1"/>
        <rFont val="Calibri"/>
        <family val="2"/>
        <charset val="1"/>
      </rPr>
      <t xml:space="preserve">, 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트루텍 외</t>
    </r>
  </si>
  <si>
    <r>
      <rPr>
        <sz val="11"/>
        <color theme="1"/>
        <rFont val="Calibri"/>
        <family val="2"/>
        <charset val="1"/>
      </rPr>
      <t xml:space="preserve">1,040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</si>
  <si>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1,040</t>
    </r>
    <r>
      <rPr>
        <sz val="11"/>
        <color theme="1"/>
        <rFont val="나눔고딕"/>
        <family val="2"/>
      </rPr>
      <t xml:space="preserve">억원 리파이낸싱 제안</t>
    </r>
  </si>
  <si>
    <t xml:space="preserve">20250825000091</t>
  </si>
  <si>
    <t xml:space="preserve">https://dart.fss.or.kr/dsaf001/main.do?rcpNo=20250825000091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</si>
  <si>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900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</si>
  <si>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4,199,910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6,615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메리츠증권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유안타증권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김현태</t>
    </r>
  </si>
  <si>
    <r>
      <rPr>
        <sz val="11"/>
        <color theme="1"/>
        <rFont val="Calibri"/>
        <family val="2"/>
        <charset val="1"/>
      </rPr>
      <t xml:space="preserve">900</t>
    </r>
    <r>
      <rPr>
        <sz val="11"/>
        <color theme="1"/>
        <rFont val="나눔고딕"/>
        <family val="2"/>
      </rPr>
      <t xml:space="preserve">억원</t>
    </r>
  </si>
  <si>
    <t xml:space="preserve">2026-08-21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</si>
  <si>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900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</si>
  <si>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20260622000243</t>
  </si>
  <si>
    <t xml:space="preserve">https://dart.fss.or.kr/dsaf001/main.do?rcpNo=20260622000243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</si>
  <si>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788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</si>
  <si>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5,907,666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1,165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기업은행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교보증권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박혜진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안정숙 외</t>
    </r>
  </si>
  <si>
    <r>
      <rPr>
        <sz val="11"/>
        <color theme="1"/>
        <rFont val="Calibri"/>
        <family val="2"/>
        <charset val="1"/>
      </rPr>
      <t xml:space="preserve">788</t>
    </r>
    <r>
      <rPr>
        <sz val="11"/>
        <color theme="1"/>
        <rFont val="나눔고딕"/>
        <family val="2"/>
      </rPr>
      <t xml:space="preserve">억원</t>
    </r>
  </si>
  <si>
    <t xml:space="preserve">20260122000322</t>
  </si>
  <si>
    <t xml:space="preserve">https://dart.fss.or.kr/dsaf001/main.do?rcpNo=20260122000322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</si>
  <si>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759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</si>
  <si>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20,867,000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2,099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· </t>
    </r>
    <r>
      <rPr>
        <sz val="11"/>
        <color theme="1"/>
        <rFont val="나눔고딕"/>
        <family val="2"/>
      </rPr>
      <t xml:space="preserve">보유자 유한회사 유벤투스홀딩스 투자목적회사</t>
    </r>
  </si>
  <si>
    <r>
      <rPr>
        <sz val="11"/>
        <color theme="1"/>
        <rFont val="Calibri"/>
        <family val="2"/>
        <charset val="1"/>
      </rPr>
      <t xml:space="preserve">759</t>
    </r>
    <r>
      <rPr>
        <sz val="11"/>
        <color theme="1"/>
        <rFont val="나눔고딕"/>
        <family val="2"/>
      </rPr>
      <t xml:space="preserve">억원</t>
    </r>
  </si>
  <si>
    <t xml:space="preserve">20250912000493</t>
  </si>
  <si>
    <t xml:space="preserve">https://dart.fss.or.kr/dsaf001/main.do?rcpNo=20250912000493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</si>
  <si>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742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</si>
  <si>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675,220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하나증권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윤은화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전인석</t>
    </r>
  </si>
  <si>
    <r>
      <rPr>
        <sz val="11"/>
        <color theme="1"/>
        <rFont val="Calibri"/>
        <family val="2"/>
        <charset val="1"/>
      </rPr>
      <t xml:space="preserve">742</t>
    </r>
    <r>
      <rPr>
        <sz val="11"/>
        <color theme="1"/>
        <rFont val="나눔고딕"/>
        <family val="2"/>
      </rPr>
      <t xml:space="preserve">억원</t>
    </r>
  </si>
  <si>
    <t xml:space="preserve">2026-10-13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</si>
  <si>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742</t>
    </r>
    <r>
      <rPr>
        <sz val="11"/>
        <color theme="1"/>
        <rFont val="나눔고딕"/>
        <family val="2"/>
      </rPr>
      <t xml:space="preserve">억원 리파이낸싱 제안</t>
    </r>
  </si>
  <si>
    <t xml:space="preserve">20251024000379</t>
  </si>
  <si>
    <t xml:space="preserve">https://dart.fss.or.kr/dsaf001/main.do?rcpNo=20251024000379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</si>
  <si>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</si>
  <si>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4,200,000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704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김현정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</si>
  <si>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704</t>
    </r>
    <r>
      <rPr>
        <sz val="11"/>
        <color theme="1"/>
        <rFont val="나눔고딕"/>
        <family val="2"/>
      </rPr>
      <t xml:space="preserve">억원</t>
    </r>
  </si>
  <si>
    <t xml:space="preserve">2027-02-23</t>
  </si>
  <si>
    <t xml:space="preserve">20260331001897</t>
  </si>
  <si>
    <t xml:space="preserve">https://dart.fss.or.kr/dsaf001/main.do?rcpNo=20260331001897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</si>
  <si>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560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</si>
  <si>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12,345,965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1,984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기업은행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 개인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네오펄스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나눔고딕"/>
        <family val="2"/>
      </rPr>
      <t xml:space="preserve">박관호</t>
    </r>
  </si>
  <si>
    <r>
      <rPr>
        <sz val="11"/>
        <color theme="1"/>
        <rFont val="Calibri"/>
        <family val="2"/>
        <charset val="1"/>
      </rPr>
      <t xml:space="preserve">560</t>
    </r>
    <r>
      <rPr>
        <sz val="11"/>
        <color theme="1"/>
        <rFont val="나눔고딕"/>
        <family val="2"/>
      </rPr>
      <t xml:space="preserve">억원</t>
    </r>
  </si>
  <si>
    <t xml:space="preserve">2026-08-10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</si>
  <si>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560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</si>
  <si>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20260706000473</t>
  </si>
  <si>
    <t xml:space="preserve">https://dart.fss.or.kr/dsaf001/main.do?rcpNo=20260706000473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</si>
  <si>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540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</si>
  <si>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5,916,706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3,775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교보증권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이환철</t>
    </r>
  </si>
  <si>
    <r>
      <rPr>
        <sz val="11"/>
        <color theme="1"/>
        <rFont val="Calibri"/>
        <family val="2"/>
        <charset val="1"/>
      </rPr>
      <t xml:space="preserve">540</t>
    </r>
    <r>
      <rPr>
        <sz val="11"/>
        <color theme="1"/>
        <rFont val="나눔고딕"/>
        <family val="2"/>
      </rPr>
      <t xml:space="preserve">억원</t>
    </r>
  </si>
  <si>
    <t xml:space="preserve">2026-09-21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</si>
  <si>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540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</si>
  <si>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20260430001843</t>
  </si>
  <si>
    <t xml:space="preserve">https://dart.fss.or.kr/dsaf001/main.do?rcpNo=20260430001843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</si>
  <si>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</si>
  <si>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21,514,612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7,433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한국증권 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미래에셋 캐피탈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</si>
  <si>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20251219000570</t>
  </si>
  <si>
    <t xml:space="preserve">https://dart.fss.or.kr/dsaf001/main.do?rcpNo=20251219000570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</si>
  <si>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253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</si>
  <si>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2,410,734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1,157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농협은행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삼성증권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조동혁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조연주 외</t>
    </r>
  </si>
  <si>
    <r>
      <rPr>
        <sz val="11"/>
        <color theme="1"/>
        <rFont val="Calibri"/>
        <family val="2"/>
        <charset val="1"/>
      </rPr>
      <t xml:space="preserve">253</t>
    </r>
    <r>
      <rPr>
        <sz val="11"/>
        <color theme="1"/>
        <rFont val="나눔고딕"/>
        <family val="2"/>
      </rPr>
      <t xml:space="preserve">억원</t>
    </r>
  </si>
  <si>
    <t xml:space="preserve">20260421000442</t>
  </si>
  <si>
    <t xml:space="preserve">https://dart.fss.or.kr/dsaf001/main.do?rcpNo=20260421000442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</si>
  <si>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</si>
  <si>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1,089,041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신한은행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하나은행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유텍솔루션</t>
    </r>
  </si>
  <si>
    <t xml:space="preserve">20260318000157</t>
  </si>
  <si>
    <t xml:space="preserve">https://dart.fss.or.kr/dsaf001/main.do?rcpNo=20260318000157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</si>
  <si>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148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</si>
  <si>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7,213,933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289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대아인베스트먼트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신한투자증권 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권오혁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최영섭</t>
    </r>
  </si>
  <si>
    <t xml:space="preserve">2026-11-04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</si>
  <si>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148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</si>
  <si>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20260610000225</t>
  </si>
  <si>
    <t xml:space="preserve">https://dart.fss.or.kr/dsaf001/main.do?rcpNo=20260610000225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</si>
  <si>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</si>
  <si>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74,906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양세훈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유명한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</si>
  <si>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나눔고딕"/>
        <family val="2"/>
      </rPr>
      <t xml:space="preserve">억원</t>
    </r>
  </si>
  <si>
    <t xml:space="preserve">20260529002316</t>
  </si>
  <si>
    <t xml:space="preserve">https://dart.fss.or.kr/dsaf001/main.do?rcpNo=20260529002316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</si>
  <si>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</si>
  <si>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200,000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213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KEB</t>
    </r>
    <r>
      <rPr>
        <sz val="11"/>
        <color theme="1"/>
        <rFont val="나눔고딕"/>
        <family val="2"/>
      </rPr>
      <t xml:space="preserve">하나은행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현대에이앤아이</t>
    </r>
  </si>
  <si>
    <t xml:space="preserve">20260624000332</t>
  </si>
  <si>
    <t xml:space="preserve">https://dart.fss.or.kr/dsaf001/main.do?rcpNo=20260624000332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</si>
  <si>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</si>
  <si>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286,801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101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펄어비스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김권호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김대일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</si>
  <si>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나눔고딕"/>
        <family val="2"/>
      </rPr>
      <t xml:space="preserve">억원</t>
    </r>
  </si>
  <si>
    <t xml:space="preserve">2026-11-28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</si>
  <si>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나눔고딕"/>
        <family val="2"/>
      </rPr>
      <t xml:space="preserve">억원 리파이낸싱 제안</t>
    </r>
  </si>
  <si>
    <t xml:space="preserve">20251224000644</t>
  </si>
  <si>
    <t xml:space="preserve">https://dart.fss.or.kr/dsaf001/main.do?rcpNo=20251224000644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</si>
  <si>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</si>
  <si>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1,399,999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대신증권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최성환</t>
    </r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</si>
  <si>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나눔고딕"/>
        <family val="2"/>
      </rPr>
      <t xml:space="preserve">억원</t>
    </r>
  </si>
  <si>
    <t xml:space="preserve">20260507000629</t>
  </si>
  <si>
    <t xml:space="preserve">https://dart.fss.or.kr/dsaf001/main.do?rcpNo=20260507000629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</si>
  <si>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</si>
  <si>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9,523,810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292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블루산업개발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· </t>
    </r>
    <r>
      <rPr>
        <sz val="11"/>
        <color theme="1"/>
        <rFont val="나눔고딕"/>
        <family val="2"/>
      </rPr>
      <t xml:space="preserve">보유자 지앤비조합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</si>
  <si>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</t>
    </r>
  </si>
  <si>
    <t xml:space="preserve">2026-12-22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</si>
  <si>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</si>
  <si>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20260331004328</t>
  </si>
  <si>
    <t xml:space="preserve">https://dart.fss.or.kr/dsaf001/main.do?rcpNo=20260331004328</t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</si>
  <si>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1,750,000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꿈비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이선근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꿈비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이선근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</si>
  <si>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나눔고딕"/>
        <family val="2"/>
      </rPr>
      <t xml:space="preserve">억원</t>
    </r>
  </si>
  <si>
    <t xml:space="preserve">20260727000264</t>
  </si>
  <si>
    <t xml:space="preserve">https://dart.fss.or.kr/dsaf001/main.do?rcpNo=20260727000264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</si>
  <si>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</si>
  <si>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393,531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344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대신증권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아이엠증권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김성연</t>
    </r>
  </si>
  <si>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나눔고딕"/>
        <family val="2"/>
      </rPr>
      <t xml:space="preserve">억원</t>
    </r>
  </si>
  <si>
    <t xml:space="preserve">20260723000322</t>
  </si>
  <si>
    <t xml:space="preserve">https://dart.fss.or.kr/dsaf001/main.do?rcpNo=20260723000322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</si>
  <si>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</si>
  <si>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143,042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대신증권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김현준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최은성</t>
    </r>
  </si>
  <si>
    <t xml:space="preserve">20260320001018</t>
  </si>
  <si>
    <t xml:space="preserve">https://dart.fss.or.kr/dsaf001/main.do?rcpNo=20260320001018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</si>
  <si>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</si>
  <si>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450,000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역삼세무서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이원범</t>
    </r>
  </si>
  <si>
    <r>
      <rPr>
        <sz val="11"/>
        <color theme="1"/>
        <rFont val="나눔고딕"/>
        <family val="2"/>
      </rPr>
      <t xml:space="preserve">담보가치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나눔고딕"/>
        <family val="2"/>
      </rPr>
      <t xml:space="preserve">억원</t>
    </r>
  </si>
  <si>
    <t xml:space="preserve">20260511000215</t>
  </si>
  <si>
    <t xml:space="preserve">https://dart.fss.or.kr/dsaf001/main.do?rcpNo=20260511000215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</si>
  <si>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</si>
  <si>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259,800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338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용산세무서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한국증권금융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주재영</t>
    </r>
  </si>
  <si>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나눔고딕"/>
        <family val="2"/>
      </rPr>
      <t xml:space="preserve">억원</t>
    </r>
  </si>
  <si>
    <t xml:space="preserve">20260715000168</t>
  </si>
  <si>
    <t xml:space="preserve">https://dart.fss.or.kr/dsaf001/main.do?rcpNo=20260715000168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</si>
  <si>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</si>
  <si>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38,369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43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한국투자증권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박세진</t>
    </r>
  </si>
  <si>
    <t xml:space="preserve">20260804000149</t>
  </si>
  <si>
    <t xml:space="preserve">https://dart.fss.or.kr/dsaf001/main.do?rcpNo=20260804000149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</si>
  <si>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</si>
  <si>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58,651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미래에셋증권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정재열</t>
    </r>
  </si>
  <si>
    <t xml:space="preserve">2026-10-22</t>
  </si>
  <si>
    <r>
      <rPr>
        <sz val="11"/>
        <color theme="1"/>
        <rFont val="나눔고딕"/>
        <family val="2"/>
      </rPr>
      <t xml:space="preserve">만기 도래 담보대출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 리파이낸싱 제안</t>
    </r>
  </si>
  <si>
    <t xml:space="preserve">20260731000615</t>
  </si>
  <si>
    <t xml:space="preserve">https://dart.fss.or.kr/dsaf001/main.do?rcpNo=20260731000615</t>
  </si>
  <si>
    <r>
      <rPr>
        <sz val="11"/>
        <color theme="1"/>
        <rFont val="나눔고딕"/>
        <family val="2"/>
      </rPr>
      <t xml:space="preserve">대주주 주식담보대출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나눔고딕"/>
        <family val="2"/>
      </rPr>
      <t xml:space="preserve">억원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</si>
  <si>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담보주식 </t>
    </r>
    <r>
      <rPr>
        <sz val="11"/>
        <color theme="1"/>
        <rFont val="Calibri"/>
        <family val="2"/>
        <charset val="1"/>
      </rPr>
      <t xml:space="preserve">1,546,955</t>
    </r>
    <r>
      <rPr>
        <sz val="11"/>
        <color theme="1"/>
        <rFont val="나눔고딕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평가액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대구은행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포항세무서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나주영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나채민</t>
    </r>
  </si>
  <si>
    <t xml:space="preserve">20260403003096</t>
  </si>
  <si>
    <t xml:space="preserve">https://dart.fss.or.kr/dsaf001/main.do?rcpNo=20260403003096</t>
  </si>
  <si>
    <r>
      <rPr>
        <sz val="11"/>
        <color theme="1"/>
        <rFont val="나눔고딕"/>
        <family val="2"/>
      </rPr>
      <t xml:space="preserve">대주주 주식담보 계약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건</t>
    </r>
  </si>
  <si>
    <r>
      <rPr>
        <sz val="11"/>
        <color theme="1"/>
        <rFont val="나눔고딕"/>
        <family val="2"/>
      </rPr>
      <t xml:space="preserve">계약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건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차입처 양천세무서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보유자 송여림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송태림 외</t>
    </r>
  </si>
  <si>
    <t xml:space="preserve">미공시</t>
  </si>
  <si>
    <t xml:space="preserve">규모 미공시</t>
  </si>
  <si>
    <t xml:space="preserve">20250731000456</t>
  </si>
  <si>
    <t xml:space="preserve">https://dart.fss.or.kr/dsaf001/main.do?rcpNo=20250731000456</t>
  </si>
  <si>
    <t xml:space="preserve">임직원 주식보상 — 영업 대상</t>
  </si>
  <si>
    <r>
      <rPr>
        <sz val="9"/>
        <color rgb="FF6B7280"/>
        <rFont val="나눔고딕"/>
        <family val="2"/>
      </rPr>
      <t xml:space="preserve">주식 지급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행사 시점 기반 임직원 자산관리 </t>
    </r>
    <r>
      <rPr>
        <sz val="9"/>
        <color rgb="FF6B7280"/>
        <rFont val="Cambria"/>
        <family val="0"/>
        <charset val="1"/>
      </rPr>
      <t xml:space="preserve">· 0/100</t>
    </r>
    <r>
      <rPr>
        <sz val="9"/>
        <color rgb="FF6B7280"/>
        <rFont val="나눔고딕"/>
        <family val="2"/>
      </rPr>
      <t xml:space="preserve">개사 해당 </t>
    </r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시간 열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행사 시작일 </t>
    </r>
    <r>
      <rPr>
        <sz val="9"/>
        <color rgb="FF6B7280"/>
        <rFont val="Cambria"/>
        <family val="0"/>
        <charset val="1"/>
      </rPr>
      <t xml:space="preserve">/ D-day</t>
    </r>
  </si>
  <si>
    <r>
      <rPr>
        <sz val="9"/>
        <color rgb="FF6B7280"/>
        <rFont val="나눔고딕"/>
        <family val="2"/>
      </rPr>
      <t xml:space="preserve">해당 기업 없음 — 스톡옵션</t>
    </r>
    <r>
      <rPr>
        <sz val="9"/>
        <color rgb="FF6B7280"/>
        <rFont val="Cambria"/>
        <family val="0"/>
        <charset val="1"/>
      </rPr>
      <t xml:space="preserve">·RSU </t>
    </r>
    <r>
      <rPr>
        <sz val="9"/>
        <color rgb="FF6B7280"/>
        <rFont val="나눔고딕"/>
        <family val="2"/>
      </rPr>
      <t xml:space="preserve">를 운영하는 상장사 자체가 드물다</t>
    </r>
    <r>
      <rPr>
        <sz val="9"/>
        <color rgb="FF6B7280"/>
        <rFont val="Cambria"/>
        <family val="0"/>
        <charset val="1"/>
      </rPr>
      <t xml:space="preserve">.</t>
    </r>
  </si>
  <si>
    <t xml:space="preserve">대주주 자금운용 — 영업 대상</t>
  </si>
  <si>
    <r>
      <rPr>
        <sz val="9"/>
        <color rgb="FF6B7280"/>
        <rFont val="나눔고딕"/>
        <family val="2"/>
      </rPr>
      <t xml:space="preserve">지분 매각대금 운용 영업 </t>
    </r>
    <r>
      <rPr>
        <sz val="9"/>
        <color rgb="FF6B7280"/>
        <rFont val="Cambria"/>
        <family val="0"/>
        <charset val="1"/>
      </rPr>
      <t xml:space="preserve">· 27/100</t>
    </r>
    <r>
      <rPr>
        <sz val="9"/>
        <color rgb="FF6B7280"/>
        <rFont val="나눔고딕"/>
        <family val="2"/>
      </rPr>
      <t xml:space="preserve">개사 해당 </t>
    </r>
    <r>
      <rPr>
        <sz val="9"/>
        <color rgb="FF6B7280"/>
        <rFont val="Cambria"/>
        <family val="0"/>
        <charset val="1"/>
      </rPr>
      <t xml:space="preserve">· </t>
    </r>
    <r>
      <rPr>
        <sz val="9"/>
        <color rgb="FF6B7280"/>
        <rFont val="나눔고딕"/>
        <family val="2"/>
      </rPr>
      <t xml:space="preserve">시간 열</t>
    </r>
    <r>
      <rPr>
        <sz val="9"/>
        <color rgb="FF6B7280"/>
        <rFont val="Cambria"/>
        <family val="0"/>
        <charset val="1"/>
      </rPr>
      <t xml:space="preserve">: </t>
    </r>
    <r>
      <rPr>
        <sz val="9"/>
        <color rgb="FF6B7280"/>
        <rFont val="나눔고딕"/>
        <family val="2"/>
      </rPr>
      <t xml:space="preserve">발생 후 경과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</si>
  <si>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9,200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</si>
  <si>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박관호 → 네오펄스㈜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40.25% · </t>
    </r>
    <r>
      <rPr>
        <sz val="11"/>
        <color theme="1"/>
        <rFont val="나눔고딕"/>
        <family val="2"/>
      </rPr>
      <t xml:space="preserve">최대주주 변경을 수반하는 주식양수도 계약 체결</t>
    </r>
  </si>
  <si>
    <r>
      <rPr>
        <sz val="11"/>
        <color theme="1"/>
        <rFont val="Calibri"/>
        <family val="2"/>
        <charset val="1"/>
      </rPr>
      <t xml:space="preserve">9,200</t>
    </r>
    <r>
      <rPr>
        <sz val="11"/>
        <color theme="1"/>
        <rFont val="나눔고딕"/>
        <family val="2"/>
      </rPr>
      <t xml:space="preserve">억원</t>
    </r>
  </si>
  <si>
    <t xml:space="preserve">2026-10-30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</si>
  <si>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9,200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</si>
  <si>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2,386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</si>
  <si>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김형육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 → 김윤상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46.53% · </t>
    </r>
    <r>
      <rPr>
        <sz val="11"/>
        <color theme="1"/>
        <rFont val="나눔고딕"/>
        <family val="2"/>
      </rPr>
      <t xml:space="preserve">주식관리신탁 계약에 따른 최대주주 변경</t>
    </r>
  </si>
  <si>
    <r>
      <rPr>
        <sz val="11"/>
        <color theme="1"/>
        <rFont val="Calibri"/>
        <family val="2"/>
        <charset val="1"/>
      </rPr>
      <t xml:space="preserve">2,386</t>
    </r>
    <r>
      <rPr>
        <sz val="11"/>
        <color theme="1"/>
        <rFont val="나눔고딕"/>
        <family val="2"/>
      </rPr>
      <t xml:space="preserve">억원</t>
    </r>
  </si>
  <si>
    <t xml:space="preserve">2026-01-27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</si>
  <si>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2,386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</si>
  <si>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1,893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</si>
  <si>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김남헌 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 → 최우형 外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11.2% · </t>
    </r>
    <r>
      <rPr>
        <sz val="11"/>
        <color theme="1"/>
        <rFont val="나눔고딕"/>
        <family val="2"/>
      </rPr>
      <t xml:space="preserve">기존 최대주주의 시간외매매에 따른 최대주주 변경</t>
    </r>
  </si>
  <si>
    <r>
      <rPr>
        <sz val="11"/>
        <color theme="1"/>
        <rFont val="Calibri"/>
        <family val="2"/>
        <charset val="1"/>
      </rPr>
      <t xml:space="preserve">1,893</t>
    </r>
    <r>
      <rPr>
        <sz val="11"/>
        <color theme="1"/>
        <rFont val="나눔고딕"/>
        <family val="2"/>
      </rPr>
      <t xml:space="preserve">억원</t>
    </r>
  </si>
  <si>
    <t xml:space="preserve">2025-09-22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</si>
  <si>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1,893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</si>
  <si>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1,865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</si>
  <si>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심팩홀딩스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 → 최진식 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60.15% · </t>
    </r>
    <r>
      <rPr>
        <sz val="11"/>
        <color theme="1"/>
        <rFont val="나눔고딕"/>
        <family val="2"/>
      </rPr>
      <t xml:space="preserve">주식회사 </t>
    </r>
    <r>
      <rPr>
        <sz val="11"/>
        <color theme="1"/>
        <rFont val="Calibri"/>
        <family val="2"/>
        <charset val="1"/>
      </rPr>
      <t xml:space="preserve">SIMPAC(</t>
    </r>
    <r>
      <rPr>
        <sz val="11"/>
        <color theme="1"/>
        <rFont val="나눔고딕"/>
        <family val="2"/>
      </rPr>
      <t xml:space="preserve">존속회사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과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심팩홀딩스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소멸회사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간 흡수합병으로 인한 최대주주 변경</t>
    </r>
  </si>
  <si>
    <r>
      <rPr>
        <sz val="11"/>
        <color theme="1"/>
        <rFont val="Calibri"/>
        <family val="2"/>
        <charset val="1"/>
      </rPr>
      <t xml:space="preserve">1,865</t>
    </r>
    <r>
      <rPr>
        <sz val="11"/>
        <color theme="1"/>
        <rFont val="나눔고딕"/>
        <family val="2"/>
      </rPr>
      <t xml:space="preserve">억원</t>
    </r>
  </si>
  <si>
    <t xml:space="preserve">2025-12-15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</si>
  <si>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1,865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</si>
  <si>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1,711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</si>
  <si>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김정근 → 김성연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12.45% · </t>
    </r>
    <r>
      <rPr>
        <sz val="11"/>
        <color theme="1"/>
        <rFont val="나눔고딕"/>
        <family val="2"/>
      </rPr>
      <t xml:space="preserve">최대주주 사망에 따른 상속 개시</t>
    </r>
  </si>
  <si>
    <r>
      <rPr>
        <sz val="11"/>
        <color theme="1"/>
        <rFont val="Calibri"/>
        <family val="2"/>
        <charset val="1"/>
      </rPr>
      <t xml:space="preserve">1,711</t>
    </r>
    <r>
      <rPr>
        <sz val="11"/>
        <color theme="1"/>
        <rFont val="나눔고딕"/>
        <family val="2"/>
      </rPr>
      <t xml:space="preserve">억원</t>
    </r>
  </si>
  <si>
    <t xml:space="preserve">2026-02-05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</si>
  <si>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1,711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</si>
  <si>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t xml:space="preserve">20260319001005</t>
  </si>
  <si>
    <t xml:space="preserve">https://dart.fss.or.kr/dsaf001/main.do?rcpNo=20260319001005</t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</si>
  <si>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1,687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</si>
  <si>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김형육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인 → 김윤상 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53.74% · </t>
    </r>
    <r>
      <rPr>
        <sz val="11"/>
        <color theme="1"/>
        <rFont val="나눔고딕"/>
        <family val="2"/>
      </rPr>
      <t xml:space="preserve">최대주주 김형육 별세에 따른 변경</t>
    </r>
  </si>
  <si>
    <r>
      <rPr>
        <sz val="11"/>
        <color theme="1"/>
        <rFont val="Calibri"/>
        <family val="2"/>
        <charset val="1"/>
      </rPr>
      <t xml:space="preserve">1,687</t>
    </r>
    <r>
      <rPr>
        <sz val="11"/>
        <color theme="1"/>
        <rFont val="나눔고딕"/>
        <family val="2"/>
      </rPr>
      <t xml:space="preserve">억원</t>
    </r>
  </si>
  <si>
    <t xml:space="preserve">2026-07-20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</si>
  <si>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1,687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</si>
  <si>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899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</si>
  <si>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구철모 → 유한회사 유벤투스홀딩스투자목적회사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40.33% · </t>
    </r>
    <r>
      <rPr>
        <sz val="11"/>
        <color theme="1"/>
        <rFont val="나눔고딕"/>
        <family val="2"/>
      </rPr>
      <t xml:space="preserve">차입 </t>
    </r>
    <r>
      <rPr>
        <sz val="11"/>
        <color theme="1"/>
        <rFont val="Calibri"/>
        <family val="2"/>
        <charset val="1"/>
      </rPr>
      <t xml:space="preserve">709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콜옵션 행사에 따른 공개매수</t>
    </r>
    <r>
      <rPr>
        <sz val="11"/>
        <color theme="1"/>
        <rFont val="Calibri"/>
        <family val="2"/>
        <charset val="1"/>
      </rPr>
      <t xml:space="preserve">(2025.07.28~2025.09.10) </t>
    </r>
    <r>
      <rPr>
        <sz val="11"/>
        <color theme="1"/>
        <rFont val="나눔고딕"/>
        <family val="2"/>
      </rPr>
      <t xml:space="preserve">응모 및 대금지급에 따른 최대주주 변경</t>
    </r>
  </si>
  <si>
    <r>
      <rPr>
        <sz val="11"/>
        <color theme="1"/>
        <rFont val="Calibri"/>
        <family val="2"/>
        <charset val="1"/>
      </rPr>
      <t xml:space="preserve">899</t>
    </r>
    <r>
      <rPr>
        <sz val="11"/>
        <color theme="1"/>
        <rFont val="나눔고딕"/>
        <family val="2"/>
      </rPr>
      <t xml:space="preserve">억원</t>
    </r>
  </si>
  <si>
    <t xml:space="preserve">2025-09-12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</si>
  <si>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899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</si>
  <si>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t xml:space="preserve">20260528000907</t>
  </si>
  <si>
    <t xml:space="preserve">https://dart.fss.or.kr/dsaf001/main.do?rcpNo=20260528000907</t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</si>
  <si>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</si>
  <si>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㈜시너지이노베이션외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 → 윤진파트너스㈜외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25.4% · </t>
    </r>
    <r>
      <rPr>
        <sz val="11"/>
        <color theme="1"/>
        <rFont val="나눔고딕"/>
        <family val="2"/>
      </rPr>
      <t xml:space="preserve">최대주주 변경을 수반하는 주식양수도 계약 체결</t>
    </r>
  </si>
  <si>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나눔고딕"/>
        <family val="2"/>
      </rPr>
      <t xml:space="preserve">억원</t>
    </r>
  </si>
  <si>
    <t xml:space="preserve">2026-09-09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</si>
  <si>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</si>
  <si>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606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</si>
  <si>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)SNT</t>
    </r>
    <r>
      <rPr>
        <sz val="11"/>
        <color theme="1"/>
        <rFont val="나눔고딕"/>
        <family val="2"/>
      </rPr>
      <t xml:space="preserve">홀딩스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 → </t>
    </r>
    <r>
      <rPr>
        <sz val="11"/>
        <color theme="1"/>
        <rFont val="Calibri"/>
        <family val="2"/>
        <charset val="1"/>
      </rPr>
      <t xml:space="preserve">SNT</t>
    </r>
    <r>
      <rPr>
        <sz val="11"/>
        <color theme="1"/>
        <rFont val="나눔고딕"/>
        <family val="2"/>
      </rPr>
      <t xml:space="preserve">모티브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21.26% · </t>
    </r>
    <r>
      <rPr>
        <sz val="11"/>
        <color theme="1"/>
        <rFont val="나눔고딕"/>
        <family val="2"/>
      </rPr>
      <t xml:space="preserve">특수관계인 간의 시간외대량매매에 따른 최대주주 변경</t>
    </r>
  </si>
  <si>
    <r>
      <rPr>
        <sz val="11"/>
        <color theme="1"/>
        <rFont val="Calibri"/>
        <family val="2"/>
        <charset val="1"/>
      </rPr>
      <t xml:space="preserve">606</t>
    </r>
    <r>
      <rPr>
        <sz val="11"/>
        <color theme="1"/>
        <rFont val="나눔고딕"/>
        <family val="2"/>
      </rPr>
      <t xml:space="preserve">억원</t>
    </r>
  </si>
  <si>
    <t xml:space="preserve">2026-04-24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</si>
  <si>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606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</si>
  <si>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578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</si>
  <si>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도용환외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인 → </t>
    </r>
    <r>
      <rPr>
        <sz val="11"/>
        <color theme="1"/>
        <rFont val="Calibri"/>
        <family val="2"/>
        <charset val="1"/>
      </rPr>
      <t xml:space="preserve">The Miri Strategic Emerging Markets Fund LP 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18.42% · </t>
    </r>
    <r>
      <rPr>
        <sz val="11"/>
        <color theme="1"/>
        <rFont val="나눔고딕"/>
        <family val="2"/>
      </rPr>
      <t xml:space="preserve">도용환과 </t>
    </r>
    <r>
      <rPr>
        <sz val="11"/>
        <color theme="1"/>
        <rFont val="Calibri"/>
        <family val="2"/>
        <charset val="1"/>
      </rPr>
      <t xml:space="preserve">The Miri Strategic Emerging Markets Fund LP </t>
    </r>
    <r>
      <rPr>
        <sz val="11"/>
        <color theme="1"/>
        <rFont val="나눔고딕"/>
        <family val="2"/>
      </rPr>
      <t xml:space="preserve">사이에 체결된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나눔고딕"/>
        <family val="2"/>
      </rPr>
      <t xml:space="preserve">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월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일자 주식매매계약의 거래 종결로 인한 최대주주 변경</t>
    </r>
  </si>
  <si>
    <r>
      <rPr>
        <sz val="11"/>
        <color theme="1"/>
        <rFont val="Calibri"/>
        <family val="2"/>
        <charset val="1"/>
      </rPr>
      <t xml:space="preserve">578</t>
    </r>
    <r>
      <rPr>
        <sz val="11"/>
        <color theme="1"/>
        <rFont val="나눔고딕"/>
        <family val="2"/>
      </rPr>
      <t xml:space="preserve">억원</t>
    </r>
  </si>
  <si>
    <t xml:space="preserve">2026-03-04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</si>
  <si>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578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</si>
  <si>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470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</si>
  <si>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)IHC </t>
    </r>
    <r>
      <rPr>
        <sz val="11"/>
        <color theme="1"/>
        <rFont val="나눔고딕"/>
        <family val="2"/>
      </rPr>
      <t xml:space="preserve">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 → 모트렉스이에프엠 주식회사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48.61% · </t>
    </r>
    <r>
      <rPr>
        <sz val="11"/>
        <color theme="1"/>
        <rFont val="나눔고딕"/>
        <family val="2"/>
      </rPr>
      <t xml:space="preserve">최대주주 변경을 수반하는 주식매매계약</t>
    </r>
  </si>
  <si>
    <r>
      <rPr>
        <sz val="11"/>
        <color theme="1"/>
        <rFont val="Calibri"/>
        <family val="2"/>
        <charset val="1"/>
      </rPr>
      <t xml:space="preserve">470</t>
    </r>
    <r>
      <rPr>
        <sz val="11"/>
        <color theme="1"/>
        <rFont val="나눔고딕"/>
        <family val="2"/>
      </rPr>
      <t xml:space="preserve">억원</t>
    </r>
  </si>
  <si>
    <t xml:space="preserve">2026-07-31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</si>
  <si>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470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</si>
  <si>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</si>
  <si>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장홍선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 → 장선우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42.17% · </t>
    </r>
    <r>
      <rPr>
        <sz val="11"/>
        <color theme="1"/>
        <rFont val="나눔고딕"/>
        <family val="2"/>
      </rPr>
      <t xml:space="preserve">특수관계인 간의 주식거래로 인한 최대주주의 변경</t>
    </r>
  </si>
  <si>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나눔고딕"/>
        <family val="2"/>
      </rPr>
      <t xml:space="preserve">억원</t>
    </r>
  </si>
  <si>
    <t xml:space="preserve">2025-11-21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</si>
  <si>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</si>
  <si>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459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</si>
  <si>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김장연 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명 → 김현정 외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27.39% · </t>
    </r>
    <r>
      <rPr>
        <sz val="11"/>
        <color theme="1"/>
        <rFont val="나눔고딕"/>
        <family val="2"/>
      </rPr>
      <t xml:space="preserve">변경 전 최대주주 김장연 회장 사망에 따른 상속</t>
    </r>
  </si>
  <si>
    <r>
      <rPr>
        <sz val="11"/>
        <color theme="1"/>
        <rFont val="Calibri"/>
        <family val="2"/>
        <charset val="1"/>
      </rPr>
      <t xml:space="preserve">459</t>
    </r>
    <r>
      <rPr>
        <sz val="11"/>
        <color theme="1"/>
        <rFont val="나눔고딕"/>
        <family val="2"/>
      </rPr>
      <t xml:space="preserve">억원</t>
    </r>
  </si>
  <si>
    <t xml:space="preserve">2025-12-29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</si>
  <si>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459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</si>
  <si>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</si>
  <si>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이광식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 → 이원범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23.27% · </t>
    </r>
    <r>
      <rPr>
        <sz val="11"/>
        <color theme="1"/>
        <rFont val="나눔고딕"/>
        <family val="2"/>
      </rPr>
      <t xml:space="preserve">기존 최대주주와 특수관계인간 증여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나눔고딕"/>
        <family val="2"/>
      </rPr>
      <t xml:space="preserve">수증에 따른 최대주주의 변경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증여자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나눔고딕"/>
        <family val="2"/>
      </rPr>
      <t xml:space="preserve">이광식 </t>
    </r>
    <r>
      <rPr>
        <sz val="11"/>
        <color theme="1"/>
        <rFont val="Calibri"/>
        <family val="2"/>
        <charset val="1"/>
      </rPr>
      <t xml:space="preserve">1,860,000 - </t>
    </r>
    <r>
      <rPr>
        <sz val="11"/>
        <color theme="1"/>
        <rFont val="나눔고딕"/>
        <family val="2"/>
      </rPr>
      <t xml:space="preserve">수증자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나눔고딕"/>
        <family val="2"/>
      </rPr>
      <t xml:space="preserve">이원범 </t>
    </r>
    <r>
      <rPr>
        <sz val="11"/>
        <color theme="1"/>
        <rFont val="Calibri"/>
        <family val="2"/>
        <charset val="1"/>
      </rPr>
      <t xml:space="preserve">1,860,000</t>
    </r>
  </si>
  <si>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나눔고딕"/>
        <family val="2"/>
      </rPr>
      <t xml:space="preserve">억원</t>
    </r>
  </si>
  <si>
    <t xml:space="preserve">2025-10-30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</si>
  <si>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</si>
  <si>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</si>
  <si>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김상환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명 → 엠에이치그룹홀딩스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25.14% · </t>
    </r>
    <r>
      <rPr>
        <sz val="11"/>
        <color theme="1"/>
        <rFont val="나눔고딕"/>
        <family val="2"/>
      </rPr>
      <t xml:space="preserve">계약에 의한 매도</t>
    </r>
  </si>
  <si>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나눔고딕"/>
        <family val="2"/>
      </rPr>
      <t xml:space="preserve">억원</t>
    </r>
  </si>
  <si>
    <t xml:space="preserve">2026-01-30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</si>
  <si>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</si>
  <si>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t xml:space="preserve">20250930000631</t>
  </si>
  <si>
    <t xml:space="preserve">https://dart.fss.or.kr/dsaf001/main.do?rcpNo=20250930000631</t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</si>
  <si>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358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</si>
  <si>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정구용 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명 → 정혜승 외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42.94% · </t>
    </r>
    <r>
      <rPr>
        <sz val="11"/>
        <color theme="1"/>
        <rFont val="나눔고딕"/>
        <family val="2"/>
      </rPr>
      <t xml:space="preserve">변경 전 최대주주 정구용 회장 사망에 따른 상속</t>
    </r>
  </si>
  <si>
    <r>
      <rPr>
        <sz val="11"/>
        <color theme="1"/>
        <rFont val="Calibri"/>
        <family val="2"/>
        <charset val="1"/>
      </rPr>
      <t xml:space="preserve">358</t>
    </r>
    <r>
      <rPr>
        <sz val="11"/>
        <color theme="1"/>
        <rFont val="나눔고딕"/>
        <family val="2"/>
      </rPr>
      <t xml:space="preserve">억원</t>
    </r>
  </si>
  <si>
    <t xml:space="preserve">2026-03-18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</si>
  <si>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358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</si>
  <si>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262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</si>
  <si>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염병만외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명 → 염병진외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34.21% · </t>
    </r>
    <r>
      <rPr>
        <sz val="11"/>
        <color theme="1"/>
        <rFont val="나눔고딕"/>
        <family val="2"/>
      </rPr>
      <t xml:space="preserve">최대주주의 지분 증여 증여자 염병만</t>
    </r>
    <r>
      <rPr>
        <sz val="11"/>
        <color theme="1"/>
        <rFont val="Calibri"/>
        <family val="2"/>
        <charset val="1"/>
      </rPr>
      <t xml:space="preserve">(1,060,000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수증자 염수진</t>
    </r>
    <r>
      <rPr>
        <sz val="11"/>
        <color theme="1"/>
        <rFont val="Calibri"/>
        <family val="2"/>
        <charset val="1"/>
      </rPr>
      <t xml:space="preserve">(220,000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염지영</t>
    </r>
    <r>
      <rPr>
        <sz val="11"/>
        <color theme="1"/>
        <rFont val="Calibri"/>
        <family val="2"/>
        <charset val="1"/>
      </rPr>
      <t xml:space="preserve">(220,000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장기훈</t>
    </r>
    <r>
      <rPr>
        <sz val="11"/>
        <color theme="1"/>
        <rFont val="Calibri"/>
        <family val="2"/>
        <charset val="1"/>
      </rPr>
      <t xml:space="preserve">(160,000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정현준</t>
    </r>
    <r>
      <rPr>
        <sz val="11"/>
        <color theme="1"/>
        <rFont val="Calibri"/>
        <family val="2"/>
        <charset val="1"/>
      </rPr>
      <t xml:space="preserve">(160,000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장천익</t>
    </r>
    <r>
      <rPr>
        <sz val="11"/>
        <color theme="1"/>
        <rFont val="Calibri"/>
        <family val="2"/>
        <charset val="1"/>
      </rPr>
      <t xml:space="preserve">(150,000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정경훈</t>
    </r>
    <r>
      <rPr>
        <sz val="11"/>
        <color theme="1"/>
        <rFont val="Calibri"/>
        <family val="2"/>
        <charset val="1"/>
      </rPr>
      <t xml:space="preserve">(150,000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합계</t>
    </r>
    <r>
      <rPr>
        <sz val="11"/>
        <color theme="1"/>
        <rFont val="Calibri"/>
        <family val="2"/>
        <charset val="1"/>
      </rPr>
      <t xml:space="preserve">(1,060,000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</si>
  <si>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2026-04-08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</si>
  <si>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262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</si>
  <si>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214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</si>
  <si>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나주영외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 → 나채민외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44.92% · </t>
    </r>
    <r>
      <rPr>
        <sz val="11"/>
        <color theme="1"/>
        <rFont val="나눔고딕"/>
        <family val="2"/>
      </rPr>
      <t xml:space="preserve">기존 최대주주의 증여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나눔고딕"/>
        <family val="2"/>
      </rPr>
      <t xml:space="preserve">수증에 따른 최대주주변경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증여자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나눔고딕"/>
        <family val="2"/>
      </rPr>
      <t xml:space="preserve">나주영 </t>
    </r>
    <r>
      <rPr>
        <sz val="11"/>
        <color theme="1"/>
        <rFont val="Calibri"/>
        <family val="2"/>
        <charset val="1"/>
      </rPr>
      <t xml:space="preserve">(1,850,000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- </t>
    </r>
    <r>
      <rPr>
        <sz val="11"/>
        <color theme="1"/>
        <rFont val="나눔고딕"/>
        <family val="2"/>
      </rPr>
      <t xml:space="preserve">수증자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나눔고딕"/>
        <family val="2"/>
      </rPr>
      <t xml:space="preserve">나채민 </t>
    </r>
    <r>
      <rPr>
        <sz val="11"/>
        <color theme="1"/>
        <rFont val="Calibri"/>
        <family val="2"/>
        <charset val="1"/>
      </rPr>
      <t xml:space="preserve">(1,850,000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</si>
  <si>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2026-04-01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</si>
  <si>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214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</si>
  <si>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</si>
  <si>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김성은외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 → 주식회사 케이일레븐파트너스외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50.98% · </t>
    </r>
    <r>
      <rPr>
        <sz val="11"/>
        <color theme="1"/>
        <rFont val="나눔고딕"/>
        <family val="2"/>
      </rPr>
      <t xml:space="preserve">특수관계인간 주식 취득 및 처분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</si>
  <si>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나눔고딕"/>
        <family val="2"/>
      </rPr>
      <t xml:space="preserve">억원</t>
    </r>
  </si>
  <si>
    <t xml:space="preserve">2026-06-15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</si>
  <si>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</si>
  <si>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</si>
  <si>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임형기 외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41.44% · </t>
    </r>
    <r>
      <rPr>
        <sz val="11"/>
        <color theme="1"/>
        <rFont val="나눔고딕"/>
        <family val="2"/>
      </rPr>
      <t xml:space="preserve">최대주주 임형기 별세에 따른 변경</t>
    </r>
  </si>
  <si>
    <t xml:space="preserve">2026-05-31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</si>
  <si>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</si>
  <si>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t xml:space="preserve">20260318000232</t>
  </si>
  <si>
    <t xml:space="preserve">https://dart.fss.or.kr/dsaf001/main.do?rcpNo=20260318000232</t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</si>
  <si>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</si>
  <si>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이선근 외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나눔고딕"/>
        <family val="2"/>
      </rPr>
      <t xml:space="preserve">인 →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꿈비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17.35% · </t>
    </r>
    <r>
      <rPr>
        <sz val="11"/>
        <color theme="1"/>
        <rFont val="나눔고딕"/>
        <family val="2"/>
      </rPr>
      <t xml:space="preserve">주식매매계약 이행에 따른 변경</t>
    </r>
  </si>
  <si>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나눔고딕"/>
        <family val="2"/>
      </rPr>
      <t xml:space="preserve">억원</t>
    </r>
  </si>
  <si>
    <t xml:space="preserve">2026-07-23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</si>
  <si>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</si>
  <si>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86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</si>
  <si>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윤남철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인 → 윤성호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37.72% · </t>
    </r>
    <r>
      <rPr>
        <sz val="11"/>
        <color theme="1"/>
        <rFont val="나눔고딕"/>
        <family val="2"/>
      </rPr>
      <t xml:space="preserve">증여에 따른 최대주주 변경</t>
    </r>
  </si>
  <si>
    <r>
      <rPr>
        <sz val="11"/>
        <color theme="1"/>
        <rFont val="Calibri"/>
        <family val="2"/>
        <charset val="1"/>
      </rPr>
      <t xml:space="preserve">86</t>
    </r>
    <r>
      <rPr>
        <sz val="11"/>
        <color theme="1"/>
        <rFont val="나눔고딕"/>
        <family val="2"/>
      </rPr>
      <t xml:space="preserve">억원</t>
    </r>
  </si>
  <si>
    <t xml:space="preserve">2026-04-10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</si>
  <si>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86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</si>
  <si>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제이에이치사람들외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 →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제이에이치사람들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20.62% · 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제이에이치사람들과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햇발 사이에 체결된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나눔고딕"/>
        <family val="2"/>
      </rPr>
      <t xml:space="preserve">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월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나눔고딕"/>
        <family val="2"/>
      </rPr>
      <t xml:space="preserve">일자 주식양수도 계약체결의 이행으로 인한 최대주주 변경</t>
    </r>
  </si>
  <si>
    <t xml:space="preserve">2025-12-01</t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</si>
  <si>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</si>
  <si>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바른손이앤에이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명 →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지피클럽외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34.86% · </t>
    </r>
    <r>
      <rPr>
        <sz val="11"/>
        <color theme="1"/>
        <rFont val="나눔고딕"/>
        <family val="2"/>
      </rPr>
      <t xml:space="preserve">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자배정 유상증자 납입을 통한 최대주주 변경</t>
    </r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</si>
  <si>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나눔고딕"/>
        <family val="2"/>
      </rPr>
      <t xml:space="preserve">억원</t>
    </r>
  </si>
  <si>
    <t xml:space="preserve">2026-07-28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</si>
  <si>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</si>
  <si>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t xml:space="preserve">20260630000287</t>
  </si>
  <si>
    <t xml:space="preserve">https://dart.fss.or.kr/dsaf001/main.do?rcpNo=20260630000287</t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</si>
  <si>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</si>
  <si>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브이핑크홀딩스 → 지앤비조합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7.73% · </t>
    </r>
    <r>
      <rPr>
        <sz val="11"/>
        <color theme="1"/>
        <rFont val="나눔고딕"/>
        <family val="2"/>
      </rPr>
      <t xml:space="preserve">차입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자배정 유상증자</t>
    </r>
  </si>
  <si>
    <t xml:space="preserve">2025-12-24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</si>
  <si>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</si>
  <si>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</si>
  <si>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호일바이오메드외</t>
    </r>
    <r>
      <rPr>
        <sz val="11"/>
        <color theme="1"/>
        <rFont val="Calibri"/>
        <family val="2"/>
        <charset val="1"/>
      </rPr>
      <t xml:space="preserve">10 → </t>
    </r>
    <r>
      <rPr>
        <sz val="11"/>
        <color theme="1"/>
        <rFont val="나눔고딕"/>
        <family val="2"/>
      </rPr>
      <t xml:space="preserve">김기옥외</t>
    </r>
    <r>
      <rPr>
        <sz val="11"/>
        <color theme="1"/>
        <rFont val="Calibri"/>
        <family val="2"/>
        <charset val="1"/>
      </rPr>
      <t xml:space="preserve">10 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26.2% · </t>
    </r>
    <r>
      <rPr>
        <sz val="11"/>
        <color theme="1"/>
        <rFont val="나눔고딕"/>
        <family val="2"/>
      </rPr>
      <t xml:space="preserve">특별관계자간 주식 양수도</t>
    </r>
  </si>
  <si>
    <t xml:space="preserve">2026-02-19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</si>
  <si>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</si>
  <si>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r>
      <rPr>
        <sz val="11"/>
        <color theme="1"/>
        <rFont val="나눔고딕"/>
        <family val="2"/>
      </rPr>
      <t xml:space="preserve">최대주주 변경 — 매각대금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 유입 추정</t>
    </r>
  </si>
  <si>
    <r>
      <rPr>
        <sz val="11"/>
        <color theme="1"/>
        <rFont val="나눔고딕"/>
        <family val="2"/>
      </rPr>
      <t xml:space="preserve">㈜관악상사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 → 그린케미칼㈜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나눔고딕"/>
        <family val="2"/>
      </rPr>
      <t xml:space="preserve">지분 </t>
    </r>
    <r>
      <rPr>
        <sz val="11"/>
        <color theme="1"/>
        <rFont val="Calibri"/>
        <family val="2"/>
        <charset val="1"/>
      </rPr>
      <t xml:space="preserve">26.81% · </t>
    </r>
    <r>
      <rPr>
        <sz val="11"/>
        <color theme="1"/>
        <rFont val="나눔고딕"/>
        <family val="2"/>
      </rPr>
      <t xml:space="preserve">특수관계자의 장내매수로 인한 최대주주 변경</t>
    </r>
  </si>
  <si>
    <t xml:space="preserve">2026-07-22</t>
  </si>
  <si>
    <r>
      <rPr>
        <sz val="11"/>
        <color theme="1"/>
        <rFont val="나눔고딕"/>
        <family val="2"/>
      </rPr>
      <t xml:space="preserve">매각대금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억원 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신탁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채권형 운용 제안</t>
    </r>
  </si>
  <si>
    <t xml:space="preserve">20260319001189</t>
  </si>
  <si>
    <t xml:space="preserve">https://dart.fss.or.kr/dsaf001/main.do?rcpNo=20260319001189</t>
  </si>
  <si>
    <t xml:space="preserve">금융자산 — 원문 수치</t>
  </si>
  <si>
    <r>
      <rPr>
        <sz val="9"/>
        <color rgb="FF6B7280"/>
        <rFont val="나눔고딕"/>
        <family val="2"/>
      </rPr>
      <t xml:space="preserve">정기보고서 주석에서 직접 읽은 값</t>
    </r>
    <r>
      <rPr>
        <sz val="9"/>
        <color rgb="FF6B7280"/>
        <rFont val="Cambria"/>
        <family val="0"/>
        <charset val="1"/>
      </rPr>
      <t xml:space="preserve">. </t>
    </r>
    <r>
      <rPr>
        <sz val="9"/>
        <color rgb="FF6B7280"/>
        <rFont val="나눔고딕"/>
        <family val="2"/>
      </rPr>
      <t xml:space="preserve">단위는 원문 그대로</t>
    </r>
    <r>
      <rPr>
        <sz val="9"/>
        <color rgb="FF6B7280"/>
        <rFont val="Cambria"/>
        <family val="0"/>
        <charset val="1"/>
      </rPr>
      <t xml:space="preserve">.</t>
    </r>
  </si>
  <si>
    <t xml:space="preserve">단위</t>
  </si>
  <si>
    <t xml:space="preserve">금융자산 총계</t>
  </si>
  <si>
    <t xml:space="preserve">상각후원가</t>
  </si>
  <si>
    <r>
      <rPr>
        <b val="true"/>
        <sz val="10"/>
        <color rgb="FFFFFFFF"/>
        <rFont val="Cambria"/>
        <family val="0"/>
        <charset val="1"/>
      </rPr>
      <t xml:space="preserve">FVOCI(</t>
    </r>
    <r>
      <rPr>
        <b val="true"/>
        <sz val="10"/>
        <color rgb="FFFFFFFF"/>
        <rFont val="나눔고딕"/>
        <family val="2"/>
      </rPr>
      <t xml:space="preserve">전략지분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</si>
  <si>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FVTPL(</t>
    </r>
    <r>
      <rPr>
        <b val="true"/>
        <sz val="10"/>
        <color rgb="FFFFFFFF"/>
        <rFont val="나눔고딕"/>
        <family val="2"/>
      </rPr>
      <t xml:space="preserve">수익증권류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</si>
  <si>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예치성 자금</t>
  </si>
  <si>
    <t xml:space="preserve">현금및현금성</t>
  </si>
  <si>
    <t xml:space="preserve">상품 구성</t>
  </si>
  <si>
    <t xml:space="preserve">보고서</t>
  </si>
  <si>
    <t xml:space="preserve">천원</t>
  </si>
  <si>
    <t xml:space="preserve">단기금융상품</t>
  </si>
  <si>
    <r>
      <rPr>
        <sz val="11"/>
        <color theme="1"/>
        <rFont val="나눔고딕"/>
        <family val="2"/>
      </rPr>
      <t xml:space="preserve">금융기관예치금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단기투자자산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장기투자자산</t>
    </r>
  </si>
  <si>
    <t xml:space="preserve">기타유동금융자산</t>
  </si>
  <si>
    <t xml:space="preserve">원</t>
  </si>
  <si>
    <t xml:space="preserve">장기금융상품</t>
  </si>
  <si>
    <t xml:space="preserve">백만원</t>
  </si>
  <si>
    <r>
      <rPr>
        <sz val="11"/>
        <color theme="1"/>
        <rFont val="나눔고딕"/>
        <family val="2"/>
      </rPr>
      <t xml:space="preserve">장단기금융상품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</si>
  <si>
    <t xml:space="preserve">기타금융자산</t>
  </si>
  <si>
    <r>
      <rPr>
        <sz val="11"/>
        <color theme="1"/>
        <rFont val="나눔고딕"/>
        <family val="2"/>
      </rPr>
      <t xml:space="preserve">장단기금융상품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장단기투자증권</t>
    </r>
  </si>
  <si>
    <r>
      <rPr>
        <sz val="11"/>
        <color theme="1"/>
        <rFont val="나눔고딕"/>
        <family val="2"/>
      </rPr>
      <t xml:space="preserve">장단기금융자산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기타유동금융자산</t>
    </r>
  </si>
  <si>
    <r>
      <rPr>
        <sz val="11"/>
        <color theme="1"/>
        <rFont val="나눔고딕"/>
        <family val="2"/>
      </rPr>
      <t xml:space="preserve">현금및현금성자산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매출채권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기타포괄손익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나눔고딕"/>
        <family val="2"/>
      </rPr>
      <t xml:space="preserve">공정가치금융자산</t>
    </r>
  </si>
  <si>
    <r>
      <rPr>
        <sz val="11"/>
        <color theme="1"/>
        <rFont val="나눔고딕"/>
        <family val="2"/>
      </rPr>
      <t xml:space="preserve">단기금융자산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장기금융자산</t>
    </r>
  </si>
  <si>
    <r>
      <rPr>
        <sz val="11"/>
        <color theme="1"/>
        <rFont val="나눔고딕"/>
        <family val="2"/>
      </rPr>
      <t xml:space="preserve">기타금융자산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당기손익인식금융자산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</si>
  <si>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장기금융상품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</si>
  <si>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단기투자증권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</si>
  <si>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기타유동금융자산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장기금융상품</t>
    </r>
  </si>
  <si>
    <r>
      <rPr>
        <sz val="11"/>
        <color theme="1"/>
        <rFont val="나눔고딕"/>
        <family val="2"/>
      </rPr>
      <t xml:space="preserve">단기금융자산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기타유동금융자산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</si>
  <si>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</si>
  <si>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</si>
  <si>
    <r>
      <rPr>
        <sz val="11"/>
        <color theme="1"/>
        <rFont val="나눔고딕"/>
        <family val="2"/>
      </rPr>
      <t xml:space="preserve">기타금융자산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장기금융상품</t>
    </r>
  </si>
  <si>
    <t xml:space="preserve">상각후원가측정기타금융자산</t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</si>
  <si>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단기투자자산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장기투자자산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</si>
  <si>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기타유동금융자산</t>
    </r>
  </si>
  <si>
    <r>
      <rPr>
        <sz val="11"/>
        <color theme="1"/>
        <rFont val="나눔고딕"/>
        <family val="2"/>
      </rPr>
      <t xml:space="preserve">장기금융상품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</si>
  <si>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단기투자증권</t>
    </r>
  </si>
  <si>
    <r>
      <rPr>
        <sz val="11"/>
        <color theme="1"/>
        <rFont val="나눔고딕"/>
        <family val="2"/>
      </rPr>
      <t xml:space="preserve">단기금융상품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장기금융상품</t>
    </r>
  </si>
  <si>
    <r>
      <rPr>
        <sz val="11"/>
        <color theme="1"/>
        <rFont val="나눔고딕"/>
        <family val="2"/>
      </rPr>
      <t xml:space="preserve">정기예금</t>
    </r>
    <r>
      <rPr>
        <sz val="11"/>
        <color theme="1"/>
        <rFont val="Calibri"/>
        <family val="2"/>
        <charset val="1"/>
      </rPr>
      <t xml:space="preserve">, CD, </t>
    </r>
    <r>
      <rPr>
        <sz val="11"/>
        <color theme="1"/>
        <rFont val="나눔고딕"/>
        <family val="2"/>
      </rPr>
      <t xml:space="preserve">회사채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장기예치금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특정금전신탁</t>
    </r>
    <r>
      <rPr>
        <sz val="11"/>
        <color theme="1"/>
        <rFont val="Calibri"/>
        <family val="2"/>
        <charset val="1"/>
      </rPr>
      <t xml:space="preserve">, MMF, </t>
    </r>
    <r>
      <rPr>
        <sz val="11"/>
        <color theme="1"/>
        <rFont val="나눔고딕"/>
        <family val="2"/>
      </rPr>
      <t xml:space="preserve">수익증권</t>
    </r>
  </si>
  <si>
    <t xml:space="preserve">장단기금융상품</t>
  </si>
  <si>
    <t xml:space="preserve">당기손익인식금융자산</t>
  </si>
  <si>
    <t xml:space="preserve">정기예금</t>
  </si>
  <si>
    <r>
      <rPr>
        <sz val="11"/>
        <color theme="1"/>
        <rFont val="나눔고딕"/>
        <family val="2"/>
      </rPr>
      <t xml:space="preserve">금융기관예치금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채무증권</t>
    </r>
  </si>
  <si>
    <r>
      <rPr>
        <sz val="11"/>
        <color theme="1"/>
        <rFont val="나눔고딕"/>
        <family val="2"/>
      </rPr>
      <t xml:space="preserve">당기손익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나눔고딕"/>
        <family val="2"/>
      </rPr>
      <t xml:space="preserve">공정가치측정금융자산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</si>
  <si>
    <r>
      <rPr>
        <sz val="11"/>
        <color theme="1"/>
        <rFont val="나눔고딕"/>
        <family val="2"/>
      </rPr>
      <t xml:space="preserve">단기금융자산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장기금융자산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기타금융자산</t>
    </r>
  </si>
  <si>
    <r>
      <rPr>
        <sz val="11"/>
        <color theme="1"/>
        <rFont val="나눔고딕"/>
        <family val="2"/>
      </rPr>
      <t xml:space="preserve">정기예금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기타유동금융자산</t>
    </r>
  </si>
  <si>
    <r>
      <rPr>
        <sz val="11"/>
        <color theme="1"/>
        <rFont val="나눔고딕"/>
        <family val="2"/>
      </rPr>
      <t xml:space="preserve">기타금융자산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단기금융상품</t>
    </r>
  </si>
  <si>
    <t xml:space="preserve">퇴직연금 — 원문 수치</t>
  </si>
  <si>
    <r>
      <rPr>
        <sz val="9"/>
        <color rgb="FF6B7280"/>
        <rFont val="나눔고딕"/>
        <family val="2"/>
      </rPr>
      <t xml:space="preserve">확정급여제도</t>
    </r>
    <r>
      <rPr>
        <sz val="9"/>
        <color rgb="FF6B7280"/>
        <rFont val="Cambria"/>
        <family val="0"/>
        <charset val="1"/>
      </rPr>
      <t xml:space="preserve">. </t>
    </r>
    <r>
      <rPr>
        <sz val="9"/>
        <color rgb="FF6B7280"/>
        <rFont val="나눔고딕"/>
        <family val="2"/>
      </rPr>
      <t xml:space="preserve">사외적립자산 구성이 곧 영업 세그먼트를 가른다</t>
    </r>
    <r>
      <rPr>
        <sz val="9"/>
        <color rgb="FF6B7280"/>
        <rFont val="Cambria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</si>
  <si>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확정급여채무</t>
    </r>
    <r>
      <rPr>
        <b val="true"/>
        <sz val="10"/>
        <color rgb="FFFFFFFF"/>
        <rFont val="Cambria"/>
        <family val="0"/>
        <charset val="1"/>
      </rPr>
      <t xml:space="preserve">(DBO)</t>
    </r>
  </si>
  <si>
    <t xml:space="preserve">사외적립자산</t>
  </si>
  <si>
    <t xml:space="preserve">순확정급여부채</t>
  </si>
  <si>
    <r>
      <rPr>
        <b val="true"/>
        <sz val="10"/>
        <color rgb="FFFFFFFF"/>
        <rFont val="나눔고딕"/>
        <family val="2"/>
      </rPr>
      <t xml:space="preserve">적립률</t>
    </r>
    <r>
      <rPr>
        <b val="true"/>
        <sz val="10"/>
        <color rgb="FFFFFFFF"/>
        <rFont val="Cambria"/>
        <family val="0"/>
        <charset val="1"/>
      </rPr>
      <t xml:space="preserve">(%)</t>
    </r>
  </si>
  <si>
    <t xml:space="preserve">원금보장형</t>
  </si>
  <si>
    <t xml:space="preserve">실적배당형</t>
  </si>
  <si>
    <t xml:space="preserve">기타</t>
  </si>
  <si>
    <t xml:space="preserve">당기 기여금</t>
  </si>
  <si>
    <t xml:space="preserve">차기 예상 기여금</t>
  </si>
  <si>
    <t xml:space="preserve">제도</t>
  </si>
  <si>
    <t xml:space="preserve">수탁기관</t>
  </si>
  <si>
    <t xml:space="preserve">DB</t>
  </si>
  <si>
    <t xml:space="preserve">DB+DC</t>
  </si>
  <si>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나눔고딕"/>
        <family val="2"/>
      </rPr>
      <t xml:space="preserve">생명보험</t>
    </r>
  </si>
  <si>
    <t xml:space="preserve">미래에셋생명보험</t>
  </si>
  <si>
    <r>
      <rPr>
        <b val="true"/>
        <sz val="14"/>
        <color rgb="FF101827"/>
        <rFont val="나눔고딕"/>
        <family val="2"/>
      </rPr>
      <t xml:space="preserve">자기주식 취득</t>
    </r>
    <r>
      <rPr>
        <b val="true"/>
        <sz val="14"/>
        <color rgb="FF101827"/>
        <rFont val="Cambria"/>
        <family val="0"/>
        <charset val="1"/>
      </rPr>
      <t xml:space="preserve">·</t>
    </r>
    <r>
      <rPr>
        <b val="true"/>
        <sz val="14"/>
        <color rgb="FF101827"/>
        <rFont val="나눔고딕"/>
        <family val="2"/>
      </rPr>
      <t xml:space="preserve">처분 결정 — 원문 수치</t>
    </r>
  </si>
  <si>
    <r>
      <rPr>
        <sz val="9"/>
        <color rgb="FF6B7280"/>
        <rFont val="나눔고딕"/>
        <family val="2"/>
      </rPr>
      <t xml:space="preserve">최근 </t>
    </r>
    <r>
      <rPr>
        <sz val="9"/>
        <color rgb="FF6B7280"/>
        <rFont val="Cambria"/>
        <family val="0"/>
        <charset val="1"/>
      </rPr>
      <t xml:space="preserve">12</t>
    </r>
    <r>
      <rPr>
        <sz val="9"/>
        <color rgb="FF6B7280"/>
        <rFont val="나눔고딕"/>
        <family val="2"/>
      </rPr>
      <t xml:space="preserve">개월 결정 전건</t>
    </r>
    <r>
      <rPr>
        <sz val="9"/>
        <color rgb="FF6B7280"/>
        <rFont val="Cambria"/>
        <family val="0"/>
        <charset val="1"/>
      </rPr>
      <t xml:space="preserve">. </t>
    </r>
    <r>
      <rPr>
        <sz val="9"/>
        <color rgb="FF6B7280"/>
        <rFont val="나눔고딕"/>
        <family val="2"/>
      </rPr>
      <t xml:space="preserve">화면에는 예정일이 남은 건과 보유 자사주만 노출</t>
    </r>
    <r>
      <rPr>
        <sz val="9"/>
        <color rgb="FF6B7280"/>
        <rFont val="Cambria"/>
        <family val="0"/>
        <charset val="1"/>
      </rPr>
      <t xml:space="preserve">.</t>
    </r>
  </si>
  <si>
    <t xml:space="preserve">유형</t>
  </si>
  <si>
    <r>
      <rPr>
        <b val="true"/>
        <sz val="10"/>
        <color rgb="FFFFFFFF"/>
        <rFont val="나눔고딕"/>
        <family val="2"/>
      </rPr>
      <t xml:space="preserve">수량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</si>
  <si>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나눔고딕"/>
        <family val="2"/>
      </rPr>
      <t xml:space="preserve">금액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원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</si>
  <si>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시작 예정일</t>
  </si>
  <si>
    <t xml:space="preserve">종료 예정일</t>
  </si>
  <si>
    <t xml:space="preserve">방법</t>
  </si>
  <si>
    <t xml:space="preserve">목적</t>
  </si>
  <si>
    <r>
      <rPr>
        <b val="true"/>
        <sz val="10"/>
        <color rgb="FFFFFFFF"/>
        <rFont val="나눔고딕"/>
        <family val="2"/>
      </rPr>
      <t xml:space="preserve">결정 전 보유 자사주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</si>
  <si>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처분</t>
  </si>
  <si>
    <t xml:space="preserve">2025-12-08</t>
  </si>
  <si>
    <t xml:space="preserve">2025-12-12</t>
  </si>
  <si>
    <t xml:space="preserve">임직원에 대한 상여금 지급 외</t>
  </si>
  <si>
    <t xml:space="preserve">20251127001086</t>
  </si>
  <si>
    <t xml:space="preserve">2026-02-09</t>
  </si>
  <si>
    <t xml:space="preserve">2026-02-13</t>
  </si>
  <si>
    <t xml:space="preserve">임직원 자기주식 지급</t>
  </si>
  <si>
    <t xml:space="preserve">2025-09-26</t>
  </si>
  <si>
    <t xml:space="preserve">우리사주조합 무상출연</t>
  </si>
  <si>
    <t xml:space="preserve">2025-08-11</t>
  </si>
  <si>
    <t xml:space="preserve">2025-11-09</t>
  </si>
  <si>
    <t xml:space="preserve">시간외대량매매</t>
  </si>
  <si>
    <t xml:space="preserve">유동성 확보</t>
  </si>
  <si>
    <t xml:space="preserve">2025-11-19</t>
  </si>
  <si>
    <t xml:space="preserve">재무구조 개선 및 투자재원 확보</t>
  </si>
  <si>
    <t xml:space="preserve">20251118000166</t>
  </si>
  <si>
    <t xml:space="preserve">2025-12-09</t>
  </si>
  <si>
    <t xml:space="preserve">2025-12-19</t>
  </si>
  <si>
    <t xml:space="preserve">임직원에 대한 성과급 지급</t>
  </si>
  <si>
    <t xml:space="preserve">취득</t>
  </si>
  <si>
    <t xml:space="preserve">자기주식 취득 및 소각을 통한 주주가치 제고</t>
  </si>
  <si>
    <t xml:space="preserve">20260211000412</t>
  </si>
  <si>
    <t xml:space="preserve">20260211000634</t>
  </si>
  <si>
    <t xml:space="preserve">2026-03-27</t>
  </si>
  <si>
    <t xml:space="preserve">2026-04-30</t>
  </si>
  <si>
    <r>
      <rPr>
        <sz val="11"/>
        <color theme="1"/>
        <rFont val="나눔고딕"/>
        <family val="2"/>
      </rPr>
      <t xml:space="preserve">임직원의 책임경영을 강화하며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회사의 장기적 성장</t>
    </r>
    <r>
      <rPr>
        <sz val="11"/>
        <color theme="1"/>
        <rFont val="Calibri"/>
        <family val="2"/>
        <charset val="1"/>
      </rPr>
      <t xml:space="preserve">(VISION2030 </t>
    </r>
    <r>
      <rPr>
        <sz val="11"/>
        <color theme="1"/>
        <rFont val="나눔고딕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에 기여하게 하기위한 장기성과급지급</t>
    </r>
  </si>
  <si>
    <t xml:space="preserve">20260326001137</t>
  </si>
  <si>
    <t xml:space="preserve">2026-07-16</t>
  </si>
  <si>
    <t xml:space="preserve">직원 주식보상</t>
  </si>
  <si>
    <t xml:space="preserve">2025-11-28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</si>
  <si>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나눔고딕"/>
        <family val="2"/>
      </rPr>
      <t xml:space="preserve">년 임금협상에 따른 회사주식 지급</t>
    </r>
  </si>
  <si>
    <t xml:space="preserve">20251031000189</t>
  </si>
  <si>
    <t xml:space="preserve">임원 대상 자기주식 지급</t>
  </si>
  <si>
    <t xml:space="preserve">2026-01-16</t>
  </si>
  <si>
    <t xml:space="preserve">2026-04-15</t>
  </si>
  <si>
    <t xml:space="preserve">신규투자 및 운영자금 조달</t>
  </si>
  <si>
    <t xml:space="preserve">20260115000431</t>
  </si>
  <si>
    <t xml:space="preserve">20260304001541</t>
  </si>
  <si>
    <t xml:space="preserve">20260305000671</t>
  </si>
  <si>
    <t xml:space="preserve">주식 소각을 통한 주주가치 제고</t>
  </si>
  <si>
    <t xml:space="preserve">20260617000504</t>
  </si>
  <si>
    <t xml:space="preserve">2026-03-06</t>
  </si>
  <si>
    <t xml:space="preserve">임원 성과보상 지급</t>
  </si>
  <si>
    <t xml:space="preserve">2025-08-19</t>
  </si>
  <si>
    <t xml:space="preserve">자기주식을 교환대상으로 하는 교환사채 발행</t>
  </si>
  <si>
    <t xml:space="preserve">20250811000534</t>
  </si>
  <si>
    <t xml:space="preserve">2025-12-23</t>
  </si>
  <si>
    <t xml:space="preserve">임직원 상여금</t>
  </si>
  <si>
    <t xml:space="preserve">2026-02-25</t>
  </si>
  <si>
    <r>
      <rPr>
        <sz val="11"/>
        <color theme="1"/>
        <rFont val="나눔고딕"/>
        <family val="2"/>
      </rPr>
      <t xml:space="preserve">임원에 대한 장기 성과급 보상 </t>
    </r>
    <r>
      <rPr>
        <sz val="11"/>
        <color theme="1"/>
        <rFont val="Calibri"/>
        <family val="2"/>
        <charset val="1"/>
      </rPr>
      <t xml:space="preserve">(RSU </t>
    </r>
    <r>
      <rPr>
        <sz val="11"/>
        <color theme="1"/>
        <rFont val="나눔고딕"/>
        <family val="2"/>
      </rPr>
      <t xml:space="preserve">지급</t>
    </r>
    <r>
      <rPr>
        <sz val="11"/>
        <color theme="1"/>
        <rFont val="Calibri"/>
        <family val="2"/>
        <charset val="1"/>
      </rPr>
      <t xml:space="preserve">)</t>
    </r>
  </si>
  <si>
    <t xml:space="preserve">2025-08-25</t>
  </si>
  <si>
    <t xml:space="preserve">2025-08-29</t>
  </si>
  <si>
    <t xml:space="preserve">임원 상여금 지급</t>
  </si>
  <si>
    <t xml:space="preserve">20250822000372</t>
  </si>
  <si>
    <t xml:space="preserve">2026-02-11</t>
  </si>
  <si>
    <t xml:space="preserve">임원 성과급 지급</t>
  </si>
  <si>
    <t xml:space="preserve">2026-07-09</t>
  </si>
  <si>
    <r>
      <rPr>
        <sz val="11"/>
        <color theme="1"/>
        <rFont val="나눔고딕"/>
        <family val="2"/>
      </rPr>
      <t xml:space="preserve">임직원 대상 </t>
    </r>
    <r>
      <rPr>
        <sz val="11"/>
        <color theme="1"/>
        <rFont val="Calibri"/>
        <family val="2"/>
        <charset val="1"/>
      </rPr>
      <t xml:space="preserve">RSU</t>
    </r>
    <r>
      <rPr>
        <sz val="11"/>
        <color theme="1"/>
        <rFont val="나눔고딕"/>
        <family val="2"/>
      </rPr>
      <t xml:space="preserve">계약에 따른 자기주식 지급</t>
    </r>
  </si>
  <si>
    <t xml:space="preserve">주주가치 제고를 위한 자기주식 취득 및 소각</t>
  </si>
  <si>
    <t xml:space="preserve">20250925000602</t>
  </si>
  <si>
    <t xml:space="preserve">2026-07-08</t>
  </si>
  <si>
    <t xml:space="preserve">20260707000403</t>
  </si>
  <si>
    <t xml:space="preserve">2026-07-13</t>
  </si>
  <si>
    <t xml:space="preserve">임원 등 성과급의 자기주식 지급</t>
  </si>
  <si>
    <t xml:space="preserve">2025-11-20</t>
  </si>
  <si>
    <t xml:space="preserve">투자재원 확보 및 재무건전성 증대</t>
  </si>
  <si>
    <t xml:space="preserve">2025-09-19</t>
  </si>
  <si>
    <t xml:space="preserve">자기주식을 교환대상으로 하는 교환사채 발행을 통한 자금 확보</t>
  </si>
  <si>
    <t xml:space="preserve">20250919000122</t>
  </si>
  <si>
    <t xml:space="preserve">자기주식을 교환대상으로 하는 교환사채의 발행을 통한 시설자금 투자</t>
  </si>
  <si>
    <t xml:space="preserve">20251203000229</t>
  </si>
  <si>
    <t xml:space="preserve">2026-02-10</t>
  </si>
  <si>
    <t xml:space="preserve">임원에 대한 상여금 지급</t>
  </si>
  <si>
    <t xml:space="preserve">20260209000377</t>
  </si>
  <si>
    <t xml:space="preserve">2026-04-29</t>
  </si>
  <si>
    <t xml:space="preserve">임원 장기성과급 및 사외이사 보수 지급</t>
  </si>
  <si>
    <t xml:space="preserve">2025-08-18</t>
  </si>
  <si>
    <t xml:space="preserve">유통주식수 증가를 통한 거래 활성화 및 운영자금 확보</t>
  </si>
  <si>
    <t xml:space="preserve">주주가치 제고를 위한 자기주식 취득및 소각</t>
  </si>
  <si>
    <t xml:space="preserve">20251120000095</t>
  </si>
  <si>
    <t xml:space="preserve">2025-12-18</t>
  </si>
  <si>
    <r>
      <rPr>
        <sz val="11"/>
        <color theme="1"/>
        <rFont val="나눔고딕"/>
        <family val="2"/>
      </rPr>
      <t xml:space="preserve">심팩사내근로복지기금 무상출연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임원 자사주 상여 지급</t>
    </r>
  </si>
  <si>
    <t xml:space="preserve">임직원 등의 성과보상 재원 목적 취득</t>
  </si>
  <si>
    <t xml:space="preserve">20260629000456</t>
  </si>
  <si>
    <t xml:space="preserve">2025-08-26</t>
  </si>
  <si>
    <t xml:space="preserve">2026-05-26</t>
  </si>
  <si>
    <r>
      <rPr>
        <sz val="11"/>
        <color theme="1"/>
        <rFont val="나눔고딕"/>
        <family val="2"/>
      </rPr>
      <t xml:space="preserve">주식매수선택권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자기주식 교부형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최초행사 예정에 따라 동일 주주총회 부여물량 전체 공시</t>
    </r>
  </si>
  <si>
    <t xml:space="preserve">주주가치 제고를 위한 자기주식 소각 목적</t>
  </si>
  <si>
    <t xml:space="preserve">20260518000342</t>
  </si>
  <si>
    <t xml:space="preserve">2026-01-23</t>
  </si>
  <si>
    <t xml:space="preserve">주식매수선택권 행사에 따른 자기주식 교부</t>
  </si>
  <si>
    <t xml:space="preserve">2025-12-17</t>
  </si>
  <si>
    <t xml:space="preserve">2025-12-30</t>
  </si>
  <si>
    <t xml:space="preserve">시장을통한매도</t>
  </si>
  <si>
    <t xml:space="preserve">회사의 경영상 목적 달성</t>
  </si>
  <si>
    <t xml:space="preserve">자기주식을 교환대상으로 하는 사모 교환사채의 발행</t>
  </si>
  <si>
    <t xml:space="preserve">2026-05-04</t>
  </si>
  <si>
    <t xml:space="preserve">직원에 대한 상여금으로 자기주식을 지급</t>
  </si>
  <si>
    <t xml:space="preserve">20260429000005</t>
  </si>
  <si>
    <t xml:space="preserve">2026-08-03</t>
  </si>
  <si>
    <t xml:space="preserve">직원에 대한 장기근속 포상으로 자기주식을 지급</t>
  </si>
  <si>
    <t xml:space="preserve">20260730000281</t>
  </si>
  <si>
    <t xml:space="preserve">2025-12-26</t>
  </si>
  <si>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나눔고딕"/>
        <family val="2"/>
      </rPr>
      <t xml:space="preserve">손해보험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사내근로복지기금 출연</t>
    </r>
  </si>
  <si>
    <t xml:space="preserve">20260331004988</t>
  </si>
  <si>
    <t xml:space="preserve">20260413002228</t>
  </si>
  <si>
    <t xml:space="preserve">2025-09-23</t>
  </si>
  <si>
    <t xml:space="preserve">20250915000268</t>
  </si>
  <si>
    <t xml:space="preserve">2026-01-21</t>
  </si>
  <si>
    <t xml:space="preserve">장외처분</t>
  </si>
  <si>
    <t xml:space="preserve">종업원 상여 및 사내근로복지기금 출연</t>
  </si>
  <si>
    <t xml:space="preserve">직원 성과보상 목적 자기주식 지급</t>
  </si>
  <si>
    <t xml:space="preserve">20251029000118</t>
  </si>
  <si>
    <t xml:space="preserve">2026-01-15</t>
  </si>
  <si>
    <t xml:space="preserve">2026-01-12</t>
  </si>
  <si>
    <t xml:space="preserve">2026-02-12</t>
  </si>
  <si>
    <r>
      <rPr>
        <sz val="11"/>
        <color theme="1"/>
        <rFont val="나눔고딕"/>
        <family val="2"/>
      </rPr>
      <t xml:space="preserve">임직원에 대한 생산성 장려금</t>
    </r>
    <r>
      <rPr>
        <sz val="11"/>
        <color theme="1"/>
        <rFont val="Calibri"/>
        <family val="2"/>
        <charset val="1"/>
      </rPr>
      <t xml:space="preserve">(PI) </t>
    </r>
    <r>
      <rPr>
        <sz val="11"/>
        <color theme="1"/>
        <rFont val="나눔고딕"/>
        <family val="2"/>
      </rPr>
      <t xml:space="preserve">주식지급 </t>
    </r>
    <r>
      <rPr>
        <sz val="11"/>
        <color theme="1"/>
        <rFont val="Calibri"/>
        <family val="2"/>
        <charset val="1"/>
      </rPr>
      <t xml:space="preserve">(RSA)</t>
    </r>
  </si>
  <si>
    <t xml:space="preserve">20260109000710</t>
  </si>
  <si>
    <t xml:space="preserve">2026-07-29</t>
  </si>
  <si>
    <r>
      <rPr>
        <sz val="11"/>
        <color theme="1"/>
        <rFont val="나눔고딕"/>
        <family val="2"/>
      </rPr>
      <t xml:space="preserve">임직원에 대한 생산성 장려금</t>
    </r>
    <r>
      <rPr>
        <sz val="11"/>
        <color theme="1"/>
        <rFont val="Calibri"/>
        <family val="2"/>
        <charset val="1"/>
      </rPr>
      <t xml:space="preserve">(PI) </t>
    </r>
    <r>
      <rPr>
        <sz val="11"/>
        <color theme="1"/>
        <rFont val="나눔고딕"/>
        <family val="2"/>
      </rPr>
      <t xml:space="preserve">및 중대 성과 기여 인센티브 자기주식 지급</t>
    </r>
  </si>
  <si>
    <t xml:space="preserve">2026-01-22</t>
  </si>
  <si>
    <t xml:space="preserve">2026-02-04</t>
  </si>
  <si>
    <r>
      <rPr>
        <sz val="11"/>
        <color theme="1"/>
        <rFont val="나눔고딕"/>
        <family val="2"/>
      </rPr>
      <t xml:space="preserve">주식기준보상</t>
    </r>
    <r>
      <rPr>
        <sz val="11"/>
        <color theme="1"/>
        <rFont val="Calibri"/>
        <family val="2"/>
        <charset val="1"/>
      </rPr>
      <t xml:space="preserve">(RSU</t>
    </r>
    <r>
      <rPr>
        <sz val="11"/>
        <color theme="1"/>
        <rFont val="나눔고딕"/>
        <family val="2"/>
      </rPr>
      <t xml:space="preserve">제도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에 따른 주식의 지급</t>
    </r>
  </si>
  <si>
    <t xml:space="preserve">20260127000338</t>
  </si>
  <si>
    <t xml:space="preserve">주주환원을 통한 주주가치 제고</t>
  </si>
  <si>
    <t xml:space="preserve">20250814003240</t>
  </si>
  <si>
    <t xml:space="preserve">20260326001343</t>
  </si>
  <si>
    <t xml:space="preserve">임원 주식 보상 지급</t>
  </si>
  <si>
    <t xml:space="preserve">2026-04-23</t>
  </si>
  <si>
    <t xml:space="preserve">2026-05-22</t>
  </si>
  <si>
    <t xml:space="preserve">사외이사 주식 보수 및 장기성과급 행사에 따른 주식 보수 지급</t>
  </si>
  <si>
    <t xml:space="preserve">20260422000633</t>
  </si>
  <si>
    <t xml:space="preserve">2026-05-20</t>
  </si>
  <si>
    <t xml:space="preserve">주식매수선택권의 최초행사에 따른 동일 주주총회 부여물량 전체 공시</t>
  </si>
  <si>
    <t xml:space="preserve">임원 대상 성과급 자기주식 지급</t>
  </si>
  <si>
    <t xml:space="preserve">주주가치 제고를 목적으로 자기주식 취득 및 소각</t>
  </si>
  <si>
    <t xml:space="preserve">20260424000517</t>
  </si>
  <si>
    <t xml:space="preserve">2026-04-03</t>
  </si>
  <si>
    <t xml:space="preserve">2026-05-08</t>
  </si>
  <si>
    <t xml:space="preserve">임직원 대상 자기주식 지급</t>
  </si>
  <si>
    <t xml:space="preserve">2024-07-05</t>
  </si>
  <si>
    <t xml:space="preserve">전략적 제휴를 통한 지속적인 사업 협력관계 구축</t>
  </si>
  <si>
    <t xml:space="preserve">20251211000435</t>
  </si>
  <si>
    <t xml:space="preserve">전략적 제휴를 통한 사업 시너지 창출 및 협력관계 구축</t>
  </si>
  <si>
    <t xml:space="preserve">2025-12-04</t>
  </si>
  <si>
    <t xml:space="preserve">2026-04-02</t>
  </si>
  <si>
    <t xml:space="preserve">2026-04-09</t>
  </si>
  <si>
    <r>
      <rPr>
        <sz val="11"/>
        <color theme="1"/>
        <rFont val="나눔고딕"/>
        <family val="2"/>
      </rPr>
      <t xml:space="preserve">사외이사 보수 지급용 </t>
    </r>
    <r>
      <rPr>
        <sz val="11"/>
        <color theme="1"/>
        <rFont val="Calibri"/>
        <family val="2"/>
        <charset val="1"/>
      </rPr>
      <t xml:space="preserve">Stock Grant </t>
    </r>
    <r>
      <rPr>
        <sz val="11"/>
        <color theme="1"/>
        <rFont val="나눔고딕"/>
        <family val="2"/>
      </rPr>
      <t xml:space="preserve">부여를 위한 자기주식 처분</t>
    </r>
  </si>
  <si>
    <t xml:space="preserve">20260326001465</t>
  </si>
  <si>
    <t xml:space="preserve">2026-05-13</t>
  </si>
  <si>
    <t xml:space="preserve">2026-06-12</t>
  </si>
  <si>
    <t xml:space="preserve">임원 장기 성과급 지급을 위한 자기주식 처분</t>
  </si>
  <si>
    <t xml:space="preserve">주가 변동성 완화 및 자사주 소각을 통한 주주가치 제고</t>
  </si>
  <si>
    <t xml:space="preserve">20260513000673</t>
  </si>
  <si>
    <t xml:space="preserve">2026-03-03</t>
  </si>
  <si>
    <t xml:space="preserve">투자 및 운영자금 확보</t>
  </si>
  <si>
    <t xml:space="preserve">자기주식을 교환대상주식으로 하는 사모 교환사채 발행</t>
  </si>
  <si>
    <t xml:space="preserve">20251211000254</t>
  </si>
  <si>
    <t xml:space="preserve">주주가치제고 및 주식소각</t>
  </si>
  <si>
    <t xml:space="preserve">20250923000289</t>
  </si>
  <si>
    <t xml:space="preserve">2026-02-27</t>
  </si>
  <si>
    <r>
      <rPr>
        <sz val="11"/>
        <color theme="1"/>
        <rFont val="나눔고딕"/>
        <family val="2"/>
      </rPr>
      <t xml:space="preserve">사장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나눔고딕"/>
        <family val="2"/>
      </rPr>
      <t xml:space="preserve">사내이사의 단기성과급 및 경영임원 보상 중 일부를 자기주식으로 지급</t>
    </r>
  </si>
  <si>
    <t xml:space="preserve">20260714000392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</si>
  <si>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주식매수청구권 행사로 취득한 자기주식의 기한 내 처분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자본시장법제</t>
    </r>
    <r>
      <rPr>
        <sz val="11"/>
        <color theme="1"/>
        <rFont val="Calibri"/>
        <family val="2"/>
        <charset val="1"/>
      </rPr>
      <t xml:space="preserve">165</t>
    </r>
    <r>
      <rPr>
        <sz val="11"/>
        <color theme="1"/>
        <rFont val="나눔고딕"/>
        <family val="2"/>
      </rPr>
      <t xml:space="preserve">조의</t>
    </r>
    <r>
      <rPr>
        <sz val="11"/>
        <color theme="1"/>
        <rFont val="Calibri"/>
        <family val="2"/>
        <charset val="1"/>
      </rPr>
      <t xml:space="preserve">5) - </t>
    </r>
    <r>
      <rPr>
        <sz val="11"/>
        <color theme="1"/>
        <rFont val="나눔고딕"/>
        <family val="2"/>
      </rPr>
      <t xml:space="preserve">합병시 발생한 단주의 처분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유통주식물량 확대를 통한 거래량 활성화</t>
    </r>
    <r>
      <rPr>
        <sz val="11"/>
        <color theme="1"/>
        <rFont val="Calibri"/>
        <family val="2"/>
        <charset val="1"/>
      </rPr>
      <t xml:space="preserve">)</t>
    </r>
  </si>
  <si>
    <t xml:space="preserve">20260225004242</t>
  </si>
  <si>
    <t xml:space="preserve">20260226006513</t>
  </si>
  <si>
    <t xml:space="preserve">2025-10-16</t>
  </si>
  <si>
    <t xml:space="preserve">운영 및 시설 자금의 조달</t>
  </si>
  <si>
    <t xml:space="preserve">20251015000417</t>
  </si>
  <si>
    <t xml:space="preserve">2025-12-03</t>
  </si>
  <si>
    <t xml:space="preserve">운영자금 및 시설자금의 조달</t>
  </si>
  <si>
    <t xml:space="preserve">20251202000401</t>
  </si>
  <si>
    <t xml:space="preserve">운영자금 조달</t>
  </si>
  <si>
    <t xml:space="preserve">운영자금 확보</t>
  </si>
  <si>
    <t xml:space="preserve">20251231000483</t>
  </si>
  <si>
    <t xml:space="preserve">주가 안정 및 주주가치 제고</t>
  </si>
  <si>
    <t xml:space="preserve">20260422000159</t>
  </si>
  <si>
    <t xml:space="preserve">20260521000061</t>
  </si>
  <si>
    <t xml:space="preserve">주주환원정책을 통한 주주가치 제고</t>
  </si>
  <si>
    <t xml:space="preserve">2029-03-24</t>
  </si>
  <si>
    <t xml:space="preserve">20251229000755</t>
  </si>
  <si>
    <t xml:space="preserve">2026-07-21</t>
  </si>
  <si>
    <t xml:space="preserve">2026-02-24</t>
  </si>
  <si>
    <t xml:space="preserve">20251029000087</t>
  </si>
  <si>
    <t xml:space="preserve">2025-12-22</t>
  </si>
  <si>
    <t xml:space="preserve">임직원 대상 자기주식 상여 지급</t>
  </si>
  <si>
    <t xml:space="preserve">2025-09-24</t>
  </si>
  <si>
    <t xml:space="preserve">20250924000348</t>
  </si>
  <si>
    <t xml:space="preserve">2026-06-02</t>
  </si>
  <si>
    <t xml:space="preserve">기업 운영자금 확보 및 재무구조 개선</t>
  </si>
  <si>
    <t xml:space="preserve">20260304000513</t>
  </si>
  <si>
    <t xml:space="preserve">2025-10-20</t>
  </si>
  <si>
    <t xml:space="preserve">2025-10-22</t>
  </si>
  <si>
    <r>
      <rPr>
        <sz val="11"/>
        <color theme="1"/>
        <rFont val="나눔고딕"/>
        <family val="2"/>
      </rPr>
      <t xml:space="preserve">종업원에 대한 상여금 지급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종업원 </t>
    </r>
    <r>
      <rPr>
        <sz val="11"/>
        <color theme="1"/>
        <rFont val="Calibri"/>
        <family val="2"/>
        <charset val="1"/>
      </rPr>
      <t xml:space="preserve">RSU </t>
    </r>
    <r>
      <rPr>
        <sz val="11"/>
        <color theme="1"/>
        <rFont val="나눔고딕"/>
        <family val="2"/>
      </rPr>
      <t xml:space="preserve">지급</t>
    </r>
    <r>
      <rPr>
        <sz val="11"/>
        <color theme="1"/>
        <rFont val="Calibri"/>
        <family val="2"/>
        <charset val="1"/>
      </rPr>
      <t xml:space="preserve">)</t>
    </r>
  </si>
  <si>
    <t xml:space="preserve">대표이사 급여 일부 주식 지급</t>
  </si>
  <si>
    <t xml:space="preserve">20251119000172</t>
  </si>
  <si>
    <t xml:space="preserve">2026-05-14</t>
  </si>
  <si>
    <t xml:space="preserve">신사업 확대 및 신기술 도입을 위한 경영상 활용 목적</t>
  </si>
  <si>
    <t xml:space="preserve">20260514000691</t>
  </si>
  <si>
    <t xml:space="preserve">스맥 우리사주조합원에게 매각</t>
  </si>
  <si>
    <t xml:space="preserve">전략적 제휴 및 사업협력관계 구축</t>
  </si>
  <si>
    <t xml:space="preserve">20251226000007</t>
  </si>
  <si>
    <t xml:space="preserve">20260429000004</t>
  </si>
  <si>
    <t xml:space="preserve">임직원에 대한 상여금으로 자기주식을 지급</t>
  </si>
  <si>
    <t xml:space="preserve">20260403002466</t>
  </si>
  <si>
    <t xml:space="preserve">2026-04-13</t>
  </si>
  <si>
    <t xml:space="preserve">2026-06-01</t>
  </si>
  <si>
    <r>
      <rPr>
        <sz val="11"/>
        <color theme="1"/>
        <rFont val="나눔고딕"/>
        <family val="2"/>
      </rPr>
      <t xml:space="preserve">임직원 대상 </t>
    </r>
    <r>
      <rPr>
        <sz val="11"/>
        <color theme="1"/>
        <rFont val="Calibri"/>
        <family val="2"/>
        <charset val="1"/>
      </rPr>
      <t xml:space="preserve">RSU</t>
    </r>
    <r>
      <rPr>
        <sz val="11"/>
        <color theme="1"/>
        <rFont val="나눔고딕"/>
        <family val="2"/>
      </rPr>
      <t xml:space="preserve">에 따른 자기주식 지급</t>
    </r>
  </si>
  <si>
    <t xml:space="preserve">20260729000354</t>
  </si>
  <si>
    <r>
      <rPr>
        <sz val="11"/>
        <color theme="1"/>
        <rFont val="나눔고딕"/>
        <family val="2"/>
      </rPr>
      <t xml:space="preserve">양도제한조건부주식</t>
    </r>
    <r>
      <rPr>
        <sz val="11"/>
        <color theme="1"/>
        <rFont val="Calibri"/>
        <family val="2"/>
        <charset val="1"/>
      </rPr>
      <t xml:space="preserve">(RSU) </t>
    </r>
    <r>
      <rPr>
        <sz val="11"/>
        <color theme="1"/>
        <rFont val="나눔고딕"/>
        <family val="2"/>
      </rPr>
      <t xml:space="preserve">부여에 따른 자기주식의 교부</t>
    </r>
  </si>
  <si>
    <t xml:space="preserve">20260410002547</t>
  </si>
  <si>
    <t xml:space="preserve">2026-05-07</t>
  </si>
  <si>
    <t xml:space="preserve">2026-06-05</t>
  </si>
  <si>
    <t xml:space="preserve">20260109000717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</si>
  <si>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임직원에 대한 생산성 장려금</t>
    </r>
    <r>
      <rPr>
        <sz val="11"/>
        <color theme="1"/>
        <rFont val="Calibri"/>
        <family val="2"/>
        <charset val="1"/>
      </rPr>
      <t xml:space="preserve">(PI) </t>
    </r>
    <r>
      <rPr>
        <sz val="11"/>
        <color theme="1"/>
        <rFont val="나눔고딕"/>
        <family val="2"/>
      </rPr>
      <t xml:space="preserve">자기주식 지급</t>
    </r>
    <r>
      <rPr>
        <sz val="11"/>
        <color theme="1"/>
        <rFont val="Calibri"/>
        <family val="2"/>
        <charset val="1"/>
      </rPr>
      <t xml:space="preserve">(RSA) - </t>
    </r>
    <r>
      <rPr>
        <sz val="11"/>
        <color theme="1"/>
        <rFont val="나눔고딕"/>
        <family val="2"/>
      </rPr>
      <t xml:space="preserve">중대 성과 기여 인센티브 자기주식 지급</t>
    </r>
    <r>
      <rPr>
        <sz val="11"/>
        <color theme="1"/>
        <rFont val="Calibri"/>
        <family val="2"/>
        <charset val="1"/>
      </rPr>
      <t xml:space="preserve">(RSU)</t>
    </r>
  </si>
  <si>
    <t xml:space="preserve">20250924000110</t>
  </si>
  <si>
    <t xml:space="preserve">20250924000148</t>
  </si>
  <si>
    <t xml:space="preserve">2025-10-02</t>
  </si>
  <si>
    <t xml:space="preserve">소규모 주식교환 절차 진행</t>
  </si>
  <si>
    <t xml:space="preserve">20260716000502</t>
  </si>
  <si>
    <t xml:space="preserve">2025-11-12</t>
  </si>
  <si>
    <t xml:space="preserve">2029-03-30</t>
  </si>
  <si>
    <t xml:space="preserve">20260806000359</t>
  </si>
  <si>
    <t xml:space="preserve">2026-01-06</t>
  </si>
  <si>
    <t xml:space="preserve">2026-01-08</t>
  </si>
  <si>
    <t xml:space="preserve">경영상의 재원확보</t>
  </si>
  <si>
    <t xml:space="preserve">20260105000433</t>
  </si>
  <si>
    <t xml:space="preserve">2026-01-26</t>
  </si>
  <si>
    <t xml:space="preserve">임직원 성과보상용 자기주식 교부</t>
  </si>
  <si>
    <t xml:space="preserve">주가 안정 도모 및 주주가치 제고</t>
  </si>
  <si>
    <t xml:space="preserve">20260511000704</t>
  </si>
  <si>
    <t xml:space="preserve">2026-04-16</t>
  </si>
  <si>
    <t xml:space="preserve">종속회사 잔여지분 일부 취득 관련 인수대가 지급</t>
  </si>
  <si>
    <r>
      <rPr>
        <sz val="11"/>
        <color theme="1"/>
        <rFont val="나눔고딕"/>
        <family val="2"/>
      </rPr>
      <t xml:space="preserve">임원에 대한 성과보상 </t>
    </r>
    <r>
      <rPr>
        <sz val="11"/>
        <color theme="1"/>
        <rFont val="Calibri"/>
        <family val="2"/>
        <charset val="1"/>
      </rPr>
      <t xml:space="preserve">(RSU </t>
    </r>
    <r>
      <rPr>
        <sz val="11"/>
        <color theme="1"/>
        <rFont val="나눔고딕"/>
        <family val="2"/>
      </rPr>
      <t xml:space="preserve">지급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</si>
  <si>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주가안정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주주가치 제고를 목적으로 자기주식 취득 후 소각</t>
    </r>
  </si>
  <si>
    <t xml:space="preserve">20260430001425</t>
  </si>
  <si>
    <t xml:space="preserve">2026-01-09</t>
  </si>
  <si>
    <t xml:space="preserve">20260109000697</t>
  </si>
  <si>
    <t xml:space="preserve">2026-02-20</t>
  </si>
  <si>
    <t xml:space="preserve">임직원에 대한 상여금 지급</t>
  </si>
  <si>
    <t xml:space="preserve">시설자금의 조달</t>
  </si>
  <si>
    <t xml:space="preserve">양도제한 조건부 주식 재원 마련</t>
  </si>
  <si>
    <t xml:space="preserve">20260617000364</t>
  </si>
  <si>
    <t xml:space="preserve">2026-03-11</t>
  </si>
  <si>
    <r>
      <rPr>
        <sz val="11"/>
        <color theme="1"/>
        <rFont val="나눔고딕"/>
        <family val="2"/>
      </rPr>
      <t xml:space="preserve">종업원에 대한 상여금 지급 </t>
    </r>
    <r>
      <rPr>
        <sz val="11"/>
        <color theme="1"/>
        <rFont val="Calibri"/>
        <family val="2"/>
        <charset val="1"/>
      </rPr>
      <t xml:space="preserve">(RSU)</t>
    </r>
  </si>
  <si>
    <t xml:space="preserve">20251020000144</t>
  </si>
  <si>
    <t xml:space="preserve">대표이사 연봉 일부 주식지급</t>
  </si>
  <si>
    <t xml:space="preserve">회사 및 계열회사 임직원 보상</t>
  </si>
  <si>
    <t xml:space="preserve">20260519000290</t>
  </si>
  <si>
    <t xml:space="preserve">2026-06-30</t>
  </si>
  <si>
    <r>
      <rPr>
        <sz val="11"/>
        <color theme="1"/>
        <rFont val="나눔고딕"/>
        <family val="2"/>
      </rPr>
      <t xml:space="preserve">임직원 대상 주식보상제도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주식매수선택권</t>
    </r>
    <r>
      <rPr>
        <sz val="11"/>
        <color theme="1"/>
        <rFont val="Calibri"/>
        <family val="2"/>
        <charset val="1"/>
      </rPr>
      <t xml:space="preserve">, RSU)</t>
    </r>
    <r>
      <rPr>
        <sz val="11"/>
        <color theme="1"/>
        <rFont val="나눔고딕"/>
        <family val="2"/>
      </rPr>
      <t xml:space="preserve">에 따른 자기주식 교부</t>
    </r>
  </si>
  <si>
    <t xml:space="preserve">20260513000628</t>
  </si>
  <si>
    <t xml:space="preserve">2026-06-25</t>
  </si>
  <si>
    <t xml:space="preserve">2026-07-25</t>
  </si>
  <si>
    <r>
      <rPr>
        <sz val="11"/>
        <color theme="1"/>
        <rFont val="나눔고딕"/>
        <family val="2"/>
      </rPr>
      <t xml:space="preserve">임직원 대상 주식보상제도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스톡옵션</t>
    </r>
    <r>
      <rPr>
        <sz val="11"/>
        <color theme="1"/>
        <rFont val="Calibri"/>
        <family val="2"/>
        <charset val="1"/>
      </rPr>
      <t xml:space="preserve">, RSU)</t>
    </r>
    <r>
      <rPr>
        <sz val="11"/>
        <color theme="1"/>
        <rFont val="나눔고딕"/>
        <family val="2"/>
      </rPr>
      <t xml:space="preserve">에 따른 자기주식 교부</t>
    </r>
  </si>
  <si>
    <t xml:space="preserve">주주가치 제고</t>
  </si>
  <si>
    <t xml:space="preserve">20260723000604</t>
  </si>
  <si>
    <t xml:space="preserve">임직원 보상</t>
  </si>
  <si>
    <t xml:space="preserve">20260428000715</t>
  </si>
  <si>
    <t xml:space="preserve">2025-10-10</t>
  </si>
  <si>
    <t xml:space="preserve">20251002000554</t>
  </si>
  <si>
    <t xml:space="preserve">재무 안전성 제고를 위한 운영자금 확보</t>
  </si>
  <si>
    <t xml:space="preserve">20251229000758</t>
  </si>
  <si>
    <t xml:space="preserve">2025-11-03</t>
  </si>
  <si>
    <t xml:space="preserve">직원 성과급 등의 자기주식 지급</t>
  </si>
  <si>
    <t xml:space="preserve">20250807000150</t>
  </si>
  <si>
    <t xml:space="preserve">대표이사 자기주식 상여 지급</t>
  </si>
  <si>
    <t xml:space="preserve">20260604000651</t>
  </si>
  <si>
    <t xml:space="preserve">2025-09-02</t>
  </si>
  <si>
    <t xml:space="preserve">2025-10-01</t>
  </si>
  <si>
    <t xml:space="preserve">20250901000516</t>
  </si>
  <si>
    <t xml:space="preserve">대주주 주식담보 계약 — 원문 수치</t>
  </si>
  <si>
    <r>
      <rPr>
        <sz val="9"/>
        <color rgb="FF6B7280"/>
        <rFont val="나눔고딕"/>
        <family val="2"/>
      </rPr>
      <t xml:space="preserve">대량보유상황보고서 </t>
    </r>
    <r>
      <rPr>
        <sz val="9"/>
        <color rgb="FF6B7280"/>
        <rFont val="Cambria"/>
        <family val="0"/>
        <charset val="1"/>
      </rPr>
      <t xml:space="preserve">'</t>
    </r>
    <r>
      <rPr>
        <sz val="9"/>
        <color rgb="FF6B7280"/>
        <rFont val="나눔고딕"/>
        <family val="2"/>
      </rPr>
      <t xml:space="preserve">보유주식등에 관한 계약</t>
    </r>
    <r>
      <rPr>
        <sz val="9"/>
        <color rgb="FF6B7280"/>
        <rFont val="Cambria"/>
        <family val="0"/>
        <charset val="1"/>
      </rPr>
      <t xml:space="preserve">'. </t>
    </r>
    <r>
      <rPr>
        <sz val="9"/>
        <color rgb="FF6B7280"/>
        <rFont val="나눔고딕"/>
        <family val="2"/>
      </rPr>
      <t xml:space="preserve">담보성 계약만 추출</t>
    </r>
    <r>
      <rPr>
        <sz val="9"/>
        <color rgb="FF6B7280"/>
        <rFont val="Cambria"/>
        <family val="0"/>
        <charset val="1"/>
      </rPr>
      <t xml:space="preserve">(</t>
    </r>
    <r>
      <rPr>
        <sz val="9"/>
        <color rgb="FF6B7280"/>
        <rFont val="나눔고딕"/>
        <family val="2"/>
      </rPr>
      <t xml:space="preserve">양수도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공동보유 제외</t>
    </r>
    <r>
      <rPr>
        <sz val="9"/>
        <color rgb="FF6B7280"/>
        <rFont val="Cambria"/>
        <family val="0"/>
        <charset val="1"/>
      </rPr>
      <t xml:space="preserve">).</t>
    </r>
  </si>
  <si>
    <t xml:space="preserve">보유자</t>
  </si>
  <si>
    <t xml:space="preserve">관계</t>
  </si>
  <si>
    <t xml:space="preserve">계약 종류</t>
  </si>
  <si>
    <t xml:space="preserve">계약 상대방</t>
  </si>
  <si>
    <r>
      <rPr>
        <b val="true"/>
        <sz val="10"/>
        <color rgb="FFFFFFFF"/>
        <rFont val="나눔고딕"/>
        <family val="2"/>
      </rPr>
      <t xml:space="preserve">담보주식수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</si>
  <si>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나눔고딕"/>
        <family val="2"/>
      </rPr>
      <t xml:space="preserve">대출금액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원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</si>
  <si>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나눔고딕"/>
        <family val="2"/>
      </rPr>
      <t xml:space="preserve">지분율</t>
    </r>
    <r>
      <rPr>
        <b val="true"/>
        <sz val="10"/>
        <color rgb="FFFFFFFF"/>
        <rFont val="Cambria"/>
        <family val="0"/>
        <charset val="1"/>
      </rPr>
      <t xml:space="preserve">(%)</t>
    </r>
  </si>
  <si>
    <t xml:space="preserve">계약체결일</t>
  </si>
  <si>
    <t xml:space="preserve">만기</t>
  </si>
  <si>
    <t xml:space="preserve">채무자</t>
  </si>
  <si>
    <t xml:space="preserve">주식회사 한국기업투자홀딩스</t>
  </si>
  <si>
    <t xml:space="preserve">공동보유자</t>
  </si>
  <si>
    <t xml:space="preserve">담보계약</t>
  </si>
  <si>
    <t xml:space="preserve">엔에이치투자증권 주식회사</t>
  </si>
  <si>
    <t xml:space="preserve">2026-04-27</t>
  </si>
  <si>
    <t xml:space="preserve">2027-04-27</t>
  </si>
  <si>
    <t xml:space="preserve">최민석</t>
  </si>
  <si>
    <t xml:space="preserve">특수관계인</t>
  </si>
  <si>
    <t xml:space="preserve">한국증권금융㈜</t>
  </si>
  <si>
    <t xml:space="preserve">2026-10-15</t>
  </si>
  <si>
    <t xml:space="preserve">20260806000442</t>
  </si>
  <si>
    <t xml:space="preserve">해주최씨준극경수기호종중</t>
  </si>
  <si>
    <t xml:space="preserve">한국투자증권㈜</t>
  </si>
  <si>
    <t xml:space="preserve">유미개발㈜</t>
  </si>
  <si>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증권㈜</t>
    </r>
  </si>
  <si>
    <t xml:space="preserve">2027-02-01</t>
  </si>
  <si>
    <t xml:space="preserve">최윤범</t>
  </si>
  <si>
    <t xml:space="preserve">본인</t>
  </si>
  <si>
    <t xml:space="preserve">대신증권㈜</t>
  </si>
  <si>
    <t xml:space="preserve">2026-09-14</t>
  </si>
  <si>
    <t xml:space="preserve">유중근</t>
  </si>
  <si>
    <t xml:space="preserve">김록희</t>
  </si>
  <si>
    <t xml:space="preserve">최내현</t>
  </si>
  <si>
    <t xml:space="preserve">최정일</t>
  </si>
  <si>
    <t xml:space="preserve">최창근</t>
  </si>
  <si>
    <t xml:space="preserve">최창규</t>
  </si>
  <si>
    <t xml:space="preserve">2026-04-20</t>
  </si>
  <si>
    <t xml:space="preserve">최정운</t>
  </si>
  <si>
    <r>
      <rPr>
        <sz val="11"/>
        <color theme="1"/>
        <rFont val="나눔고딕"/>
        <family val="2"/>
      </rPr>
      <t xml:space="preserve">㈜하나은행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티케이지태광㈜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하나증권㈜</t>
    </r>
  </si>
  <si>
    <t xml:space="preserve">2025-09-30</t>
  </si>
  <si>
    <t xml:space="preserve">제리코파트너스㈜</t>
  </si>
  <si>
    <r>
      <rPr>
        <sz val="11"/>
        <color theme="1"/>
        <rFont val="나눔고딕"/>
        <family val="2"/>
      </rPr>
      <t xml:space="preserve">주선금융기관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나눔고딕"/>
        <family val="2"/>
      </rPr>
      <t xml:space="preserve">메리츠증권㈜ 근질권자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나눔고딕"/>
        <family val="2"/>
      </rPr>
      <t xml:space="preserve">메리츠캐피탈㈜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메리츠화재해상보험㈜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제이비우리캐피탈㈜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㈜광주은행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㈜전북은행</t>
    </r>
  </si>
  <si>
    <t xml:space="preserve">2026-07-30</t>
  </si>
  <si>
    <t xml:space="preserve">2029-04-06</t>
  </si>
  <si>
    <r>
      <rPr>
        <sz val="11"/>
        <color theme="1"/>
        <rFont val="나눔고딕"/>
        <family val="2"/>
      </rPr>
      <t xml:space="preserve">피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나눔고딕"/>
        <family val="2"/>
      </rPr>
      <t xml:space="preserve">파트너스㈜</t>
    </r>
  </si>
  <si>
    <t xml:space="preserve">최창영</t>
  </si>
  <si>
    <t xml:space="preserve">이신영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</si>
  <si>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유텍솔루션</t>
    </r>
  </si>
  <si>
    <t xml:space="preserve">주식담보계약</t>
  </si>
  <si>
    <t xml:space="preserve">하나은행</t>
  </si>
  <si>
    <t xml:space="preserve">2021-07-19</t>
  </si>
  <si>
    <t xml:space="preserve">신한은행</t>
  </si>
  <si>
    <t xml:space="preserve">2025-03-25</t>
  </si>
  <si>
    <t xml:space="preserve">20260318000163</t>
  </si>
  <si>
    <r>
      <rPr>
        <sz val="11"/>
        <color theme="1"/>
        <rFont val="나눔고딕"/>
        <family val="2"/>
      </rPr>
      <t xml:space="preserve">미래에셋 캐피탈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</si>
  <si>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근질권 설정계약</t>
  </si>
  <si>
    <t xml:space="preserve">한국증권 금융</t>
  </si>
  <si>
    <t xml:space="preserve">2015-12-28</t>
  </si>
  <si>
    <r>
      <rPr>
        <sz val="11"/>
        <color theme="1"/>
        <rFont val="나눔고딕"/>
        <family val="2"/>
      </rPr>
      <t xml:space="preserve">미래에셋캐피탈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</si>
  <si>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2026-06-10</t>
  </si>
  <si>
    <t xml:space="preserve">20260612000478</t>
  </si>
  <si>
    <t xml:space="preserve">박혜원</t>
  </si>
  <si>
    <t xml:space="preserve">하나증권㈜</t>
  </si>
  <si>
    <t xml:space="preserve">박정원</t>
  </si>
  <si>
    <t xml:space="preserve">질권설정</t>
  </si>
  <si>
    <t xml:space="preserve">2025-11-24</t>
  </si>
  <si>
    <t xml:space="preserve">2026-12-06</t>
  </si>
  <si>
    <t xml:space="preserve">박지원</t>
  </si>
  <si>
    <t xml:space="preserve">-</t>
  </si>
  <si>
    <t xml:space="preserve">㈜원상</t>
  </si>
  <si>
    <t xml:space="preserve">박진원</t>
  </si>
  <si>
    <t xml:space="preserve">박석원</t>
  </si>
  <si>
    <t xml:space="preserve">박태원</t>
  </si>
  <si>
    <t xml:space="preserve">박형원</t>
  </si>
  <si>
    <t xml:space="preserve">박인원</t>
  </si>
  <si>
    <t xml:space="preserve">박상수</t>
  </si>
  <si>
    <t xml:space="preserve">2026-01-29</t>
  </si>
  <si>
    <r>
      <rPr>
        <sz val="11"/>
        <color theme="1"/>
        <rFont val="나눔고딕"/>
        <family val="2"/>
      </rPr>
      <t xml:space="preserve">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</si>
  <si>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2026-04-28</t>
  </si>
  <si>
    <t xml:space="preserve">2027-04-28</t>
  </si>
  <si>
    <t xml:space="preserve">20260507000584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</si>
  <si>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원상</t>
    </r>
  </si>
  <si>
    <r>
      <rPr>
        <sz val="11"/>
        <color theme="1"/>
        <rFont val="나눔고딕"/>
        <family val="2"/>
      </rPr>
      <t xml:space="preserve">하나증권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</si>
  <si>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정재열</t>
  </si>
  <si>
    <t xml:space="preserve">2026-07-24</t>
  </si>
  <si>
    <t xml:space="preserve">홍라희</t>
  </si>
  <si>
    <t xml:space="preserve">우리은행</t>
  </si>
  <si>
    <t xml:space="preserve">2021-04-28</t>
  </si>
  <si>
    <t xml:space="preserve">한국증권금융</t>
  </si>
  <si>
    <t xml:space="preserve">2027-04-29</t>
  </si>
  <si>
    <t xml:space="preserve">한국투자증권</t>
  </si>
  <si>
    <t xml:space="preserve">이서현</t>
  </si>
  <si>
    <t xml:space="preserve">2023-02-01</t>
  </si>
  <si>
    <t xml:space="preserve">2024-09-04</t>
  </si>
  <si>
    <t xml:space="preserve">2023-04-20</t>
  </si>
  <si>
    <t xml:space="preserve">대신증권</t>
  </si>
  <si>
    <t xml:space="preserve">2026-07-27</t>
  </si>
  <si>
    <t xml:space="preserve">하나증권</t>
  </si>
  <si>
    <t xml:space="preserve">2026-07-07</t>
  </si>
  <si>
    <r>
      <rPr>
        <sz val="11"/>
        <color theme="1"/>
        <rFont val="Calibri"/>
        <family val="2"/>
        <charset val="1"/>
      </rPr>
      <t xml:space="preserve">BNK</t>
    </r>
    <r>
      <rPr>
        <sz val="11"/>
        <color theme="1"/>
        <rFont val="나눔고딕"/>
        <family val="2"/>
      </rPr>
      <t xml:space="preserve">투자증권</t>
    </r>
  </si>
  <si>
    <t xml:space="preserve">우리투자증권</t>
  </si>
  <si>
    <t xml:space="preserve">20260731000779</t>
  </si>
  <si>
    <t xml:space="preserve">2026-10-26</t>
  </si>
  <si>
    <r>
      <rPr>
        <sz val="11"/>
        <color theme="1"/>
        <rFont val="나눔고딕"/>
        <family val="2"/>
      </rPr>
      <t xml:space="preserve">삼양라운드스퀘어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</si>
  <si>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산업은행</t>
  </si>
  <si>
    <t xml:space="preserve">2025-11-14</t>
  </si>
  <si>
    <t xml:space="preserve">김정수</t>
  </si>
  <si>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투자증권</t>
    </r>
  </si>
  <si>
    <t xml:space="preserve">20260709000520</t>
  </si>
  <si>
    <t xml:space="preserve">전병우</t>
  </si>
  <si>
    <t xml:space="preserve">2026-07-06</t>
  </si>
  <si>
    <t xml:space="preserve">전하영</t>
  </si>
  <si>
    <t xml:space="preserve">전인석</t>
  </si>
  <si>
    <t xml:space="preserve">2025-10-21</t>
  </si>
  <si>
    <t xml:space="preserve">윤은화</t>
  </si>
  <si>
    <t xml:space="preserve">20260723000516</t>
  </si>
  <si>
    <t xml:space="preserve">김현정</t>
  </si>
  <si>
    <t xml:space="preserve">2026-02-23</t>
  </si>
  <si>
    <t xml:space="preserve">20260529000880</t>
  </si>
  <si>
    <t xml:space="preserve">최성환</t>
  </si>
  <si>
    <t xml:space="preserve">20260723000537</t>
  </si>
  <si>
    <t xml:space="preserve">조동혁</t>
  </si>
  <si>
    <t xml:space="preserve">농협은행</t>
  </si>
  <si>
    <t xml:space="preserve">2025-10-08</t>
  </si>
  <si>
    <t xml:space="preserve">조연주</t>
  </si>
  <si>
    <t xml:space="preserve">2025-05-19</t>
  </si>
  <si>
    <t xml:space="preserve">2025-06-30</t>
  </si>
  <si>
    <t xml:space="preserve">신탁계약</t>
  </si>
  <si>
    <r>
      <rPr>
        <sz val="11"/>
        <color theme="1"/>
        <rFont val="나눔고딕"/>
        <family val="2"/>
      </rPr>
      <t xml:space="preserve">조동혁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이정남</t>
    </r>
  </si>
  <si>
    <t xml:space="preserve">2023-09-26</t>
  </si>
  <si>
    <t xml:space="preserve">조희주</t>
  </si>
  <si>
    <t xml:space="preserve">2025-06-27</t>
  </si>
  <si>
    <t xml:space="preserve">조현준</t>
  </si>
  <si>
    <t xml:space="preserve">삼성증권</t>
  </si>
  <si>
    <t xml:space="preserve">20260804000324</t>
  </si>
  <si>
    <t xml:space="preserve">2026-05-18</t>
  </si>
  <si>
    <t xml:space="preserve">2026-06-29</t>
  </si>
  <si>
    <t xml:space="preserve">2026-06-27</t>
  </si>
  <si>
    <t xml:space="preserve">2026-05-11</t>
  </si>
  <si>
    <t xml:space="preserve">에스케이디스커버리㈜</t>
  </si>
  <si>
    <t xml:space="preserve">2025-08-13</t>
  </si>
  <si>
    <t xml:space="preserve">2024-04-29</t>
  </si>
  <si>
    <r>
      <rPr>
        <sz val="11"/>
        <color theme="1"/>
        <rFont val="나눔고딕"/>
        <family val="2"/>
      </rPr>
      <t xml:space="preserve">에스케이디스커버리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</si>
  <si>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20260209000438</t>
  </si>
  <si>
    <t xml:space="preserve">김현준</t>
  </si>
  <si>
    <t xml:space="preserve">최은성</t>
  </si>
  <si>
    <t xml:space="preserve">2023-07-18</t>
  </si>
  <si>
    <t xml:space="preserve">2023-07-19</t>
  </si>
  <si>
    <t xml:space="preserve">나주영</t>
  </si>
  <si>
    <t xml:space="preserve">대구은행</t>
  </si>
  <si>
    <t xml:space="preserve">2025-04-30</t>
  </si>
  <si>
    <t xml:space="preserve">20260804000438</t>
  </si>
  <si>
    <t xml:space="preserve">나채민</t>
  </si>
  <si>
    <r>
      <rPr>
        <sz val="11"/>
        <color theme="1"/>
        <rFont val="나눔고딕"/>
        <family val="2"/>
      </rPr>
      <t xml:space="preserve">담보제공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질권</t>
    </r>
    <r>
      <rPr>
        <sz val="11"/>
        <color theme="1"/>
        <rFont val="Calibri"/>
        <family val="2"/>
        <charset val="1"/>
      </rPr>
      <t xml:space="preserve">)</t>
    </r>
  </si>
  <si>
    <t xml:space="preserve">포항세무서</t>
  </si>
  <si>
    <t xml:space="preserve">김준기</t>
  </si>
  <si>
    <t xml:space="preserve">주식담보</t>
  </si>
  <si>
    <t xml:space="preserve">2026-01-31</t>
  </si>
  <si>
    <t xml:space="preserve">2012-11-22</t>
  </si>
  <si>
    <t xml:space="preserve">광주은행</t>
  </si>
  <si>
    <t xml:space="preserve">2017-03-12</t>
  </si>
  <si>
    <t xml:space="preserve">한국산업은행</t>
  </si>
  <si>
    <t xml:space="preserve">2014-04-29</t>
  </si>
  <si>
    <t xml:space="preserve">2022-10-21</t>
  </si>
  <si>
    <t xml:space="preserve">김남호</t>
  </si>
  <si>
    <t xml:space="preserve">2025-10-31</t>
  </si>
  <si>
    <t xml:space="preserve">2021-06-21</t>
  </si>
  <si>
    <t xml:space="preserve">2026-04-17</t>
  </si>
  <si>
    <t xml:space="preserve">2025-10-29</t>
  </si>
  <si>
    <t xml:space="preserve">김주원</t>
  </si>
  <si>
    <t xml:space="preserve">2024-01-05</t>
  </si>
  <si>
    <t xml:space="preserve">하나금융투자</t>
  </si>
  <si>
    <t xml:space="preserve">2020-02-25</t>
  </si>
  <si>
    <t xml:space="preserve">교보증권</t>
  </si>
  <si>
    <t xml:space="preserve">2026-03-09</t>
  </si>
  <si>
    <t xml:space="preserve">20260624000441</t>
  </si>
  <si>
    <t xml:space="preserve">2026-06-09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</si>
  <si>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두산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</si>
  <si>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우리은행</t>
    </r>
  </si>
  <si>
    <t xml:space="preserve">2027-05-26</t>
  </si>
  <si>
    <t xml:space="preserve">2025-07-13</t>
  </si>
  <si>
    <t xml:space="preserve">2027-05-07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</si>
  <si>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신한은행</t>
    </r>
  </si>
  <si>
    <t xml:space="preserve">2028-05-02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</si>
  <si>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하나은행</t>
    </r>
  </si>
  <si>
    <t xml:space="preserve">2027-05-03</t>
  </si>
  <si>
    <t xml:space="preserve">2024-09-27</t>
  </si>
  <si>
    <t xml:space="preserve">두산포트폴리오홀딩스㈜</t>
  </si>
  <si>
    <t xml:space="preserve">2027-09-27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</si>
  <si>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)KB</t>
    </r>
    <r>
      <rPr>
        <sz val="11"/>
        <color theme="1"/>
        <rFont val="나눔고딕"/>
        <family val="2"/>
      </rPr>
      <t xml:space="preserve">국민은행</t>
    </r>
  </si>
  <si>
    <t xml:space="preserve">2026-05-19</t>
  </si>
  <si>
    <t xml:space="preserve">2027-05-19</t>
  </si>
  <si>
    <t xml:space="preserve">2028-06-09</t>
  </si>
  <si>
    <t xml:space="preserve">2025-11-17</t>
  </si>
  <si>
    <t xml:space="preserve">2028-06-25</t>
  </si>
  <si>
    <t xml:space="preserve">디에스하나제일차</t>
  </si>
  <si>
    <t xml:space="preserve">2027-11-29</t>
  </si>
  <si>
    <t xml:space="preserve">20260702000437</t>
  </si>
  <si>
    <t xml:space="preserve">김승연</t>
  </si>
  <si>
    <t xml:space="preserve">주식담보제공</t>
  </si>
  <si>
    <t xml:space="preserve">국민은행</t>
  </si>
  <si>
    <t xml:space="preserve">2027-07-17</t>
  </si>
  <si>
    <t xml:space="preserve">김동관</t>
  </si>
  <si>
    <t xml:space="preserve">2027-03-18</t>
  </si>
  <si>
    <t xml:space="preserve">김동원</t>
  </si>
  <si>
    <t xml:space="preserve">2025-11-27</t>
  </si>
  <si>
    <t xml:space="preserve">2025-07-31</t>
  </si>
  <si>
    <t xml:space="preserve">20260803000315</t>
  </si>
  <si>
    <t xml:space="preserve">2027-07-29</t>
  </si>
  <si>
    <t xml:space="preserve">담보 계약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</si>
  <si>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나눔고딕"/>
        <family val="2"/>
      </rPr>
      <t xml:space="preserve">스틸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</si>
  <si>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)DB Inc.</t>
    </r>
  </si>
  <si>
    <t xml:space="preserve">2023-12-29</t>
  </si>
  <si>
    <t xml:space="preserve">2025-12-27</t>
  </si>
  <si>
    <t xml:space="preserve">2024-06-12</t>
  </si>
  <si>
    <t xml:space="preserve">수협은행</t>
  </si>
  <si>
    <t xml:space="preserve">2024-09-26</t>
  </si>
  <si>
    <t xml:space="preserve">2024-10-30</t>
  </si>
  <si>
    <t xml:space="preserve">2025-03-27</t>
  </si>
  <si>
    <t xml:space="preserve">20260618000008</t>
  </si>
  <si>
    <r>
      <rPr>
        <sz val="11"/>
        <color theme="1"/>
        <rFont val="나눔고딕"/>
        <family val="2"/>
      </rPr>
      <t xml:space="preserve">우리드림빅 제일차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</si>
  <si>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한앤코 오토홀딩스 유한회사</t>
  </si>
  <si>
    <t xml:space="preserve">주식근질권 설정계약</t>
  </si>
  <si>
    <r>
      <rPr>
        <sz val="11"/>
        <color theme="1"/>
        <rFont val="나눔고딕"/>
        <family val="2"/>
      </rPr>
      <t xml:space="preserve">엔에이치 투자증권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외 </t>
    </r>
    <r>
      <rPr>
        <sz val="11"/>
        <color theme="1"/>
        <rFont val="Calibri"/>
        <family val="2"/>
        <charset val="1"/>
      </rPr>
      <t xml:space="preserve">42</t>
    </r>
  </si>
  <si>
    <t xml:space="preserve">2021-03-11</t>
  </si>
  <si>
    <t xml:space="preserve">20260317000556</t>
  </si>
  <si>
    <t xml:space="preserve">임종훈</t>
  </si>
  <si>
    <t xml:space="preserve">2022-02-25</t>
  </si>
  <si>
    <t xml:space="preserve">2023-12-21</t>
  </si>
  <si>
    <t xml:space="preserve">김희준</t>
  </si>
  <si>
    <t xml:space="preserve">2021-09-16</t>
  </si>
  <si>
    <t xml:space="preserve">2023-12-12</t>
  </si>
  <si>
    <t xml:space="preserve">2024-03-11</t>
  </si>
  <si>
    <t xml:space="preserve">2025-02-25</t>
  </si>
  <si>
    <t xml:space="preserve">대차계약</t>
  </si>
  <si>
    <t xml:space="preserve">임후연</t>
  </si>
  <si>
    <t xml:space="preserve">2024-05-20</t>
  </si>
  <si>
    <t xml:space="preserve">임윤지</t>
  </si>
  <si>
    <t xml:space="preserve">2024-06-20</t>
  </si>
  <si>
    <t xml:space="preserve">2024-08-07</t>
  </si>
  <si>
    <t xml:space="preserve">2025-07-15</t>
  </si>
  <si>
    <t xml:space="preserve">홍지윤</t>
  </si>
  <si>
    <t xml:space="preserve">담보신탁계약</t>
  </si>
  <si>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 주식회사</t>
    </r>
  </si>
  <si>
    <t xml:space="preserve">임성연</t>
  </si>
  <si>
    <t xml:space="preserve">임성지</t>
  </si>
  <si>
    <t xml:space="preserve">임성아</t>
  </si>
  <si>
    <t xml:space="preserve">2026-03-19</t>
  </si>
  <si>
    <t xml:space="preserve">20260710000650</t>
  </si>
  <si>
    <t xml:space="preserve">2022-12-31</t>
  </si>
  <si>
    <t xml:space="preserve">정경선</t>
  </si>
  <si>
    <t xml:space="preserve">주식 담보대출계약</t>
  </si>
  <si>
    <r>
      <rPr>
        <sz val="11"/>
        <color theme="1"/>
        <rFont val="나눔고딕"/>
        <family val="2"/>
      </rPr>
      <t xml:space="preserve">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광주지점</t>
    </r>
  </si>
  <si>
    <t xml:space="preserve">정몽윤</t>
  </si>
  <si>
    <r>
      <rPr>
        <sz val="11"/>
        <color theme="1"/>
        <rFont val="나눔고딕"/>
        <family val="2"/>
      </rPr>
      <t xml:space="preserve">한국증권금융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광주지점</t>
    </r>
  </si>
  <si>
    <t xml:space="preserve">20260408002633</t>
  </si>
  <si>
    <t xml:space="preserve">이원범</t>
  </si>
  <si>
    <t xml:space="preserve">역삼세무서</t>
  </si>
  <si>
    <t xml:space="preserve">2026-05-06</t>
  </si>
  <si>
    <t xml:space="preserve">임해지</t>
  </si>
  <si>
    <t xml:space="preserve">양천세무서</t>
  </si>
  <si>
    <t xml:space="preserve">2025-07-30</t>
  </si>
  <si>
    <t xml:space="preserve">이은수</t>
  </si>
  <si>
    <t xml:space="preserve">송태림</t>
  </si>
  <si>
    <t xml:space="preserve">송여림</t>
  </si>
  <si>
    <t xml:space="preserve">최태원</t>
  </si>
  <si>
    <t xml:space="preserve">2026-04-07</t>
  </si>
  <si>
    <t xml:space="preserve">2025-09-21</t>
  </si>
  <si>
    <r>
      <rPr>
        <sz val="11"/>
        <color theme="1"/>
        <rFont val="나눔고딕"/>
        <family val="2"/>
      </rPr>
      <t xml:space="preserve">키스아이비제십육차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유</t>
    </r>
    <r>
      <rPr>
        <sz val="11"/>
        <color theme="1"/>
        <rFont val="Calibri"/>
        <family val="2"/>
        <charset val="1"/>
      </rPr>
      <t xml:space="preserve">)</t>
    </r>
  </si>
  <si>
    <t xml:space="preserve">2022-08-29</t>
  </si>
  <si>
    <r>
      <rPr>
        <sz val="11"/>
        <color theme="1"/>
        <rFont val="나눔고딕"/>
        <family val="2"/>
      </rPr>
      <t xml:space="preserve">더블에스파트너쉽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나눔고딕"/>
        <family val="2"/>
      </rPr>
      <t xml:space="preserve">의</t>
    </r>
    <r>
      <rPr>
        <sz val="11"/>
        <color theme="1"/>
        <rFont val="Calibri"/>
        <family val="2"/>
        <charset val="1"/>
      </rPr>
      <t xml:space="preserve">2(</t>
    </r>
    <r>
      <rPr>
        <sz val="11"/>
        <color theme="1"/>
        <rFont val="나눔고딕"/>
        <family val="2"/>
      </rPr>
      <t xml:space="preserve">유</t>
    </r>
    <r>
      <rPr>
        <sz val="11"/>
        <color theme="1"/>
        <rFont val="Calibri"/>
        <family val="2"/>
        <charset val="1"/>
      </rPr>
      <t xml:space="preserve">)</t>
    </r>
  </si>
  <si>
    <t xml:space="preserve">최기원</t>
  </si>
  <si>
    <t xml:space="preserve">2026-03-23</t>
  </si>
  <si>
    <r>
      <rPr>
        <sz val="11"/>
        <color theme="1"/>
        <rFont val="Calibri"/>
        <family val="2"/>
        <charset val="1"/>
      </rPr>
      <t xml:space="preserve">BNK</t>
    </r>
    <r>
      <rPr>
        <sz val="11"/>
        <color theme="1"/>
        <rFont val="나눔고딕"/>
        <family val="2"/>
      </rPr>
      <t xml:space="preserve">증권</t>
    </r>
  </si>
  <si>
    <t xml:space="preserve">2026-03-17</t>
  </si>
  <si>
    <t xml:space="preserve">최유진</t>
  </si>
  <si>
    <t xml:space="preserve">CLAIR JAEYUN KOH</t>
  </si>
  <si>
    <t xml:space="preserve">유안타증권</t>
  </si>
  <si>
    <t xml:space="preserve">20260519000293</t>
  </si>
  <si>
    <t xml:space="preserve">2026-04-19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</si>
  <si>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피에몬테</t>
    </r>
  </si>
  <si>
    <t xml:space="preserve">주식담보대출 제공</t>
  </si>
  <si>
    <t xml:space="preserve">2026-04-21</t>
  </si>
  <si>
    <t xml:space="preserve">2025-08-01</t>
  </si>
  <si>
    <t xml:space="preserve">2026-06-16</t>
  </si>
  <si>
    <t xml:space="preserve">2025-09-09</t>
  </si>
  <si>
    <t xml:space="preserve">2026-03-24</t>
  </si>
  <si>
    <t xml:space="preserve">20260728000370</t>
  </si>
  <si>
    <t xml:space="preserve">김윤상</t>
  </si>
  <si>
    <t xml:space="preserve">20260728000349</t>
  </si>
  <si>
    <t xml:space="preserve">김성연</t>
  </si>
  <si>
    <t xml:space="preserve">아이엠증권</t>
  </si>
  <si>
    <t xml:space="preserve">2026-07-15</t>
  </si>
  <si>
    <t xml:space="preserve">㈜새로닉스</t>
  </si>
  <si>
    <t xml:space="preserve">2026-07-14</t>
  </si>
  <si>
    <t xml:space="preserve">2027-07-25</t>
  </si>
  <si>
    <t xml:space="preserve">2027-07-26</t>
  </si>
  <si>
    <t xml:space="preserve">2026-03-26</t>
  </si>
  <si>
    <t xml:space="preserve">2026-09-26</t>
  </si>
  <si>
    <r>
      <rPr>
        <sz val="11"/>
        <color theme="1"/>
        <rFont val="Calibri"/>
        <family val="2"/>
        <charset val="1"/>
      </rPr>
      <t xml:space="preserve">iM</t>
    </r>
    <r>
      <rPr>
        <sz val="11"/>
        <color theme="1"/>
        <rFont val="나눔고딕"/>
        <family val="2"/>
      </rPr>
      <t xml:space="preserve">뱅크</t>
    </r>
  </si>
  <si>
    <t xml:space="preserve">2026-12-15</t>
  </si>
  <si>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증권</t>
    </r>
  </si>
  <si>
    <t xml:space="preserve">2026-08-22</t>
  </si>
  <si>
    <t xml:space="preserve">2027-04-17</t>
  </si>
  <si>
    <t xml:space="preserve">20260805000396</t>
  </si>
  <si>
    <t xml:space="preserve">허제홍</t>
  </si>
  <si>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</t>
    </r>
  </si>
  <si>
    <t xml:space="preserve">2026-10-29</t>
  </si>
  <si>
    <t xml:space="preserve">지앤비조합</t>
  </si>
  <si>
    <t xml:space="preserve">금전소비대차계약</t>
  </si>
  <si>
    <r>
      <rPr>
        <sz val="11"/>
        <color theme="1"/>
        <rFont val="나눔고딕"/>
        <family val="2"/>
      </rPr>
      <t xml:space="preserve">블루산업개발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</si>
  <si>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셀트리온 홀딩스</t>
    </r>
  </si>
  <si>
    <t xml:space="preserve">㈜셀트리온홀딩스</t>
  </si>
  <si>
    <t xml:space="preserve">2026-06-24</t>
  </si>
  <si>
    <t xml:space="preserve">2027-05-18</t>
  </si>
  <si>
    <t xml:space="preserve">2027-01-26</t>
  </si>
  <si>
    <t xml:space="preserve">2026-01-20</t>
  </si>
  <si>
    <t xml:space="preserve">2027-01-20</t>
  </si>
  <si>
    <t xml:space="preserve">2027-04-15</t>
  </si>
  <si>
    <t xml:space="preserve">2026-09-30</t>
  </si>
  <si>
    <t xml:space="preserve">2027-04-26</t>
  </si>
  <si>
    <t xml:space="preserve">2026-09-07</t>
  </si>
  <si>
    <t xml:space="preserve">2027-04-30</t>
  </si>
  <si>
    <t xml:space="preserve">한화투자증권</t>
  </si>
  <si>
    <t xml:space="preserve">2026-07-02</t>
  </si>
  <si>
    <t xml:space="preserve">2026-04-06</t>
  </si>
  <si>
    <t xml:space="preserve">2027-03-17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</si>
  <si>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셀트리온 스킨큐어</t>
    </r>
  </si>
  <si>
    <t xml:space="preserve">2027-05-30</t>
  </si>
  <si>
    <t xml:space="preserve">㈜셀트리온스킨큐어</t>
  </si>
  <si>
    <t xml:space="preserve">2025-07-04</t>
  </si>
  <si>
    <t xml:space="preserve">2026-07-04</t>
  </si>
  <si>
    <t xml:space="preserve">2027-03-04</t>
  </si>
  <si>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농협은행</t>
    </r>
  </si>
  <si>
    <t xml:space="preserve">2026-07-05</t>
  </si>
  <si>
    <t xml:space="preserve">2026-05-30</t>
  </si>
  <si>
    <t xml:space="preserve">서정진</t>
  </si>
  <si>
    <t xml:space="preserve">2026-02-26</t>
  </si>
  <si>
    <t xml:space="preserve">2027-02-26</t>
  </si>
  <si>
    <t xml:space="preserve">2027-06-28</t>
  </si>
  <si>
    <t xml:space="preserve">2027-06-29</t>
  </si>
  <si>
    <t xml:space="preserve">2026-11-30</t>
  </si>
  <si>
    <t xml:space="preserve">케이프투자증권</t>
  </si>
  <si>
    <t xml:space="preserve">2026-03-12</t>
  </si>
  <si>
    <t xml:space="preserve">2026-06-22</t>
  </si>
  <si>
    <t xml:space="preserve">2026-09-18</t>
  </si>
  <si>
    <t xml:space="preserve">2026-05-28</t>
  </si>
  <si>
    <t xml:space="preserve">2026-06-26</t>
  </si>
  <si>
    <t xml:space="preserve">2026-12-23</t>
  </si>
  <si>
    <t xml:space="preserve">20260716000781</t>
  </si>
  <si>
    <t xml:space="preserve">2027-07-13</t>
  </si>
  <si>
    <t xml:space="preserve">2027-01-08</t>
  </si>
  <si>
    <t xml:space="preserve">2027-07-06</t>
  </si>
  <si>
    <t xml:space="preserve">2027-07-05</t>
  </si>
  <si>
    <t xml:space="preserve">2026-07-03</t>
  </si>
  <si>
    <t xml:space="preserve">2026-10-06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</si>
  <si>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현대에이앤아이</t>
    </r>
  </si>
  <si>
    <r>
      <rPr>
        <sz val="11"/>
        <color theme="1"/>
        <rFont val="Calibri"/>
        <family val="2"/>
        <charset val="1"/>
      </rPr>
      <t xml:space="preserve">KEB</t>
    </r>
    <r>
      <rPr>
        <sz val="11"/>
        <color theme="1"/>
        <rFont val="나눔고딕"/>
        <family val="2"/>
      </rPr>
      <t xml:space="preserve">하나은행</t>
    </r>
  </si>
  <si>
    <t xml:space="preserve">20260703000455</t>
  </si>
  <si>
    <r>
      <rPr>
        <sz val="11"/>
        <color theme="1"/>
        <rFont val="나눔고딕"/>
        <family val="2"/>
      </rPr>
      <t xml:space="preserve">네오펄스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</si>
  <si>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질권설정계약</t>
  </si>
  <si>
    <t xml:space="preserve">기타 개인</t>
  </si>
  <si>
    <t xml:space="preserve">박관호</t>
  </si>
  <si>
    <t xml:space="preserve">기업은행</t>
  </si>
  <si>
    <t xml:space="preserve">2013-03-26</t>
  </si>
  <si>
    <t xml:space="preserve">20260720000292</t>
  </si>
  <si>
    <t xml:space="preserve">2016-04-05</t>
  </si>
  <si>
    <t xml:space="preserve">2027-04-05</t>
  </si>
  <si>
    <t xml:space="preserve">2021-11-18</t>
  </si>
  <si>
    <t xml:space="preserve">2022-05-10</t>
  </si>
  <si>
    <t xml:space="preserve">2027-06-10</t>
  </si>
  <si>
    <t xml:space="preserve">2023-03-13</t>
  </si>
  <si>
    <t xml:space="preserve">2024-02-15</t>
  </si>
  <si>
    <t xml:space="preserve">신한투자증권</t>
  </si>
  <si>
    <t xml:space="preserve">2024-07-19</t>
  </si>
  <si>
    <t xml:space="preserve">유화증권</t>
  </si>
  <si>
    <t xml:space="preserve">2024-07-26</t>
  </si>
  <si>
    <t xml:space="preserve">2027-01-11</t>
  </si>
  <si>
    <t xml:space="preserve">2024-08-30</t>
  </si>
  <si>
    <t xml:space="preserve">2024-10-23</t>
  </si>
  <si>
    <t xml:space="preserve">2026-10-14</t>
  </si>
  <si>
    <t xml:space="preserve">네오펄스㈜</t>
  </si>
  <si>
    <t xml:space="preserve">2025-11-06</t>
  </si>
  <si>
    <t xml:space="preserve">2027-10-30</t>
  </si>
  <si>
    <t xml:space="preserve">주재영</t>
  </si>
  <si>
    <t xml:space="preserve">용산세무서</t>
  </si>
  <si>
    <t xml:space="preserve">2023-10-16</t>
  </si>
  <si>
    <t xml:space="preserve">2024-07-12</t>
  </si>
  <si>
    <t xml:space="preserve">나윤성</t>
  </si>
  <si>
    <t xml:space="preserve">2025-08-24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</si>
  <si>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다솜테크</t>
    </r>
  </si>
  <si>
    <t xml:space="preserve">2020-08-14</t>
  </si>
  <si>
    <t xml:space="preserve">2025-11-10</t>
  </si>
  <si>
    <t xml:space="preserve">2025-09-16</t>
  </si>
  <si>
    <t xml:space="preserve">2024-03-25</t>
  </si>
  <si>
    <t xml:space="preserve">현대차증권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</si>
  <si>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트루텍</t>
    </r>
  </si>
  <si>
    <t xml:space="preserve">2024-07-18</t>
  </si>
  <si>
    <t xml:space="preserve">2025-10-13</t>
  </si>
  <si>
    <t xml:space="preserve">2023-11-24</t>
  </si>
  <si>
    <t xml:space="preserve">2024-03-19</t>
  </si>
  <si>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나눔고딕"/>
        <family val="2"/>
      </rPr>
      <t xml:space="preserve">증권</t>
    </r>
  </si>
  <si>
    <t xml:space="preserve">2024-03-21</t>
  </si>
  <si>
    <r>
      <rPr>
        <sz val="11"/>
        <color theme="1"/>
        <rFont val="Calibri"/>
        <family val="2"/>
        <charset val="1"/>
      </rPr>
      <t xml:space="preserve">LS</t>
    </r>
    <r>
      <rPr>
        <sz val="11"/>
        <color theme="1"/>
        <rFont val="나눔고딕"/>
        <family val="2"/>
      </rPr>
      <t xml:space="preserve">증권</t>
    </r>
  </si>
  <si>
    <t xml:space="preserve">2024-07-17</t>
  </si>
  <si>
    <t xml:space="preserve">2025-09-29</t>
  </si>
  <si>
    <t xml:space="preserve">20251230000344</t>
  </si>
  <si>
    <t xml:space="preserve">2025-10-27</t>
  </si>
  <si>
    <t xml:space="preserve">2026-12-09</t>
  </si>
  <si>
    <t xml:space="preserve">2026-03-16</t>
  </si>
  <si>
    <t xml:space="preserve">2026-03-30</t>
  </si>
  <si>
    <t xml:space="preserve">이동채</t>
  </si>
  <si>
    <t xml:space="preserve">보유주식등에관한 담보계약</t>
  </si>
  <si>
    <t xml:space="preserve">2019-07-08</t>
  </si>
  <si>
    <t xml:space="preserve">2021-09-14</t>
  </si>
  <si>
    <t xml:space="preserve">2025-04-18</t>
  </si>
  <si>
    <t xml:space="preserve">2021-12-07</t>
  </si>
  <si>
    <t xml:space="preserve">2024-09-02</t>
  </si>
  <si>
    <t xml:space="preserve">2025-02-14</t>
  </si>
  <si>
    <t xml:space="preserve">2025-06-02</t>
  </si>
  <si>
    <r>
      <rPr>
        <sz val="11"/>
        <color theme="1"/>
        <rFont val="Calibri"/>
        <family val="2"/>
        <charset val="1"/>
      </rPr>
      <t xml:space="preserve">iM</t>
    </r>
    <r>
      <rPr>
        <sz val="11"/>
        <color theme="1"/>
        <rFont val="나눔고딕"/>
        <family val="2"/>
      </rPr>
      <t xml:space="preserve">증권</t>
    </r>
  </si>
  <si>
    <t xml:space="preserve">이승환</t>
  </si>
  <si>
    <t xml:space="preserve">2024-03-26</t>
  </si>
  <si>
    <t xml:space="preserve">2023-06-19</t>
  </si>
  <si>
    <t xml:space="preserve">2024-04-05</t>
  </si>
  <si>
    <t xml:space="preserve">이연수</t>
  </si>
  <si>
    <t xml:space="preserve">2023-07-31</t>
  </si>
  <si>
    <t xml:space="preserve">데이지파트너스</t>
  </si>
  <si>
    <t xml:space="preserve">2024-10-28</t>
  </si>
  <si>
    <t xml:space="preserve">2026-07-10</t>
  </si>
  <si>
    <t xml:space="preserve">2022-10-11</t>
  </si>
  <si>
    <t xml:space="preserve">2022-12-05</t>
  </si>
  <si>
    <t xml:space="preserve">2023-05-17</t>
  </si>
  <si>
    <t xml:space="preserve">2024-04-01</t>
  </si>
  <si>
    <t xml:space="preserve">2024-04-30</t>
  </si>
  <si>
    <t xml:space="preserve">2024-07-22</t>
  </si>
  <si>
    <t xml:space="preserve">2025-02-10</t>
  </si>
  <si>
    <t xml:space="preserve">2025-06-10</t>
  </si>
  <si>
    <t xml:space="preserve">2025-07-01</t>
  </si>
  <si>
    <t xml:space="preserve">2025-09-01</t>
  </si>
  <si>
    <t xml:space="preserve">2026-03-31</t>
  </si>
  <si>
    <t xml:space="preserve">2026-01-05</t>
  </si>
  <si>
    <t xml:space="preserve">20260731000681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</si>
  <si>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고영홀딩스</t>
    </r>
  </si>
  <si>
    <t xml:space="preserve">2026-07-17</t>
  </si>
  <si>
    <t xml:space="preserve">2025-07-28</t>
  </si>
  <si>
    <t xml:space="preserve">20260804000498</t>
  </si>
  <si>
    <t xml:space="preserve">2027-07-31</t>
  </si>
  <si>
    <t xml:space="preserve">2027-07-28</t>
  </si>
  <si>
    <t xml:space="preserve">최영섭</t>
  </si>
  <si>
    <t xml:space="preserve">2026-11-09</t>
  </si>
  <si>
    <t xml:space="preserve">2026-11-25</t>
  </si>
  <si>
    <t xml:space="preserve">대아인베스트먼트</t>
  </si>
  <si>
    <t xml:space="preserve">권오혁</t>
  </si>
  <si>
    <t xml:space="preserve">서경배</t>
  </si>
  <si>
    <t xml:space="preserve">20260715000474</t>
  </si>
  <si>
    <t xml:space="preserve">2023-04-12</t>
  </si>
  <si>
    <t xml:space="preserve">2023-07-27</t>
  </si>
  <si>
    <t xml:space="preserve">김창헌</t>
  </si>
  <si>
    <t xml:space="preserve">2023-05-19</t>
  </si>
  <si>
    <t xml:space="preserve">김성권</t>
  </si>
  <si>
    <t xml:space="preserve">20260803000051</t>
  </si>
  <si>
    <t xml:space="preserve">천종윤</t>
  </si>
  <si>
    <t xml:space="preserve">2017-04-07</t>
  </si>
  <si>
    <t xml:space="preserve">2018-11-12</t>
  </si>
  <si>
    <t xml:space="preserve">2021-04-23</t>
  </si>
  <si>
    <t xml:space="preserve">2022-06-10</t>
  </si>
  <si>
    <t xml:space="preserve">2023-04-26</t>
  </si>
  <si>
    <t xml:space="preserve">2024-03-28</t>
  </si>
  <si>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기업은행</t>
    </r>
  </si>
  <si>
    <t xml:space="preserve">2016-12-20</t>
  </si>
  <si>
    <t xml:space="preserve">2018-11-07</t>
  </si>
  <si>
    <t xml:space="preserve">2018-12-17</t>
  </si>
  <si>
    <t xml:space="preserve">2021-02-18</t>
  </si>
  <si>
    <t xml:space="preserve">2023-05-23</t>
  </si>
  <si>
    <t xml:space="preserve">다올투자증권</t>
  </si>
  <si>
    <t xml:space="preserve">2024-03-27</t>
  </si>
  <si>
    <t xml:space="preserve">천종기</t>
  </si>
  <si>
    <t xml:space="preserve">2016-01-04</t>
  </si>
  <si>
    <t xml:space="preserve">2016-01-19</t>
  </si>
  <si>
    <t xml:space="preserve">2016-04-01</t>
  </si>
  <si>
    <t xml:space="preserve">2016-04-20</t>
  </si>
  <si>
    <t xml:space="preserve">2016-06-27</t>
  </si>
  <si>
    <t xml:space="preserve">2020-02-28</t>
  </si>
  <si>
    <t xml:space="preserve">2020-03-03</t>
  </si>
  <si>
    <t xml:space="preserve">2020-06-26</t>
  </si>
  <si>
    <t xml:space="preserve">2020-08-21</t>
  </si>
  <si>
    <t xml:space="preserve">2020-10-06</t>
  </si>
  <si>
    <t xml:space="preserve">2021-01-21</t>
  </si>
  <si>
    <t xml:space="preserve">2021-01-29</t>
  </si>
  <si>
    <t xml:space="preserve">2022-12-09</t>
  </si>
  <si>
    <t xml:space="preserve">2022-12-30</t>
  </si>
  <si>
    <t xml:space="preserve">2023-02-14</t>
  </si>
  <si>
    <t xml:space="preserve">2023-03-22</t>
  </si>
  <si>
    <t xml:space="preserve">2024-12-16</t>
  </si>
  <si>
    <t xml:space="preserve">2020-03-13</t>
  </si>
  <si>
    <t xml:space="preserve">2024-01-10</t>
  </si>
  <si>
    <t xml:space="preserve">2025-01-07</t>
  </si>
  <si>
    <t xml:space="preserve">천종태</t>
  </si>
  <si>
    <t xml:space="preserve">2025-12-11</t>
  </si>
  <si>
    <t xml:space="preserve">차금옥</t>
  </si>
  <si>
    <t xml:space="preserve">2015-10-29</t>
  </si>
  <si>
    <t xml:space="preserve">천솔지</t>
  </si>
  <si>
    <t xml:space="preserve">천솔비</t>
  </si>
  <si>
    <t xml:space="preserve">천강은</t>
  </si>
  <si>
    <t xml:space="preserve">2021-08-26</t>
  </si>
  <si>
    <t xml:space="preserve">2021-09-23</t>
  </si>
  <si>
    <t xml:space="preserve">2023-02-27</t>
  </si>
  <si>
    <t xml:space="preserve">2023-04-25</t>
  </si>
  <si>
    <t xml:space="preserve">2023-05-24</t>
  </si>
  <si>
    <t xml:space="preserve">2025-07-10</t>
  </si>
  <si>
    <t xml:space="preserve">천지은</t>
  </si>
  <si>
    <t xml:space="preserve">2025-09-15</t>
  </si>
  <si>
    <t xml:space="preserve">천수민</t>
  </si>
  <si>
    <t xml:space="preserve">2025-10-28</t>
  </si>
  <si>
    <t xml:space="preserve">천근</t>
  </si>
  <si>
    <t xml:space="preserve">2025-06-17</t>
  </si>
  <si>
    <t xml:space="preserve">박혜진</t>
  </si>
  <si>
    <t xml:space="preserve">2025-10-14</t>
  </si>
  <si>
    <t xml:space="preserve">안정숙</t>
  </si>
  <si>
    <t xml:space="preserve">20260429000775</t>
  </si>
  <si>
    <r>
      <rPr>
        <sz val="11"/>
        <color theme="1"/>
        <rFont val="나눔고딕"/>
        <family val="2"/>
      </rPr>
      <t xml:space="preserve">한미사이언스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</si>
  <si>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2022-11-11</t>
  </si>
  <si>
    <t xml:space="preserve">2022-11-07</t>
  </si>
  <si>
    <t xml:space="preserve">2023-05-16</t>
  </si>
  <si>
    <t xml:space="preserve">신동국</t>
  </si>
  <si>
    <t xml:space="preserve">2025-03-04</t>
  </si>
  <si>
    <t xml:space="preserve">20260403003437</t>
  </si>
  <si>
    <t xml:space="preserve">전동규</t>
  </si>
  <si>
    <t xml:space="preserve">케이프증권</t>
  </si>
  <si>
    <t xml:space="preserve">2026-05-29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</si>
  <si>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텍슨</t>
    </r>
  </si>
  <si>
    <t xml:space="preserve">근질권설정계약</t>
  </si>
  <si>
    <r>
      <rPr>
        <sz val="11"/>
        <color theme="1"/>
        <rFont val="나눔고딕"/>
        <family val="2"/>
      </rPr>
      <t xml:space="preserve">스틱세콰이아홀딩스 유한회사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대신증권</t>
    </r>
  </si>
  <si>
    <t xml:space="preserve">고용호</t>
  </si>
  <si>
    <t xml:space="preserve">이영대</t>
  </si>
  <si>
    <t xml:space="preserve">스틱세콰이아홀딩스 유한회사</t>
  </si>
  <si>
    <t xml:space="preserve">박세진</t>
  </si>
  <si>
    <t xml:space="preserve">2021-04-21</t>
  </si>
  <si>
    <t xml:space="preserve">정용진</t>
  </si>
  <si>
    <t xml:space="preserve">Aphrodite Acquisition Holdings LLC</t>
  </si>
  <si>
    <t xml:space="preserve">주식근질권설정계약</t>
  </si>
  <si>
    <r>
      <rPr>
        <sz val="11"/>
        <color theme="1"/>
        <rFont val="나눔고딕"/>
        <family val="2"/>
      </rPr>
      <t xml:space="preserve">삼성증권 주식회사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나눔고딕"/>
        <family val="2"/>
      </rPr>
      <t xml:space="preserve">에프엔헤베 주식회사</t>
    </r>
  </si>
  <si>
    <t xml:space="preserve">2026-06-17</t>
  </si>
  <si>
    <t xml:space="preserve">전환사채근질권설정계약</t>
  </si>
  <si>
    <t xml:space="preserve">20260804000276</t>
  </si>
  <si>
    <t xml:space="preserve">이준호</t>
  </si>
  <si>
    <t xml:space="preserve">하나은행 등</t>
  </si>
  <si>
    <t xml:space="preserve">2023-12-15</t>
  </si>
  <si>
    <t xml:space="preserve">SKY-Kapiolani Hotel LLC.</t>
  </si>
  <si>
    <t xml:space="preserve">20260511000639</t>
  </si>
  <si>
    <r>
      <rPr>
        <sz val="11"/>
        <color theme="1"/>
        <rFont val="나눔고딕"/>
        <family val="2"/>
      </rPr>
      <t xml:space="preserve">두산에너빌리티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</si>
  <si>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나눔고딕"/>
        <family val="2"/>
      </rPr>
      <t xml:space="preserve">한국스탠다드차타드은행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</si>
  <si>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2021-07-01</t>
  </si>
  <si>
    <t xml:space="preserve">에너빌리티하나제삼차 유한회사</t>
  </si>
  <si>
    <t xml:space="preserve">2025-03-17</t>
  </si>
  <si>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개사</t>
    </r>
  </si>
  <si>
    <t xml:space="preserve">2024-03-24</t>
  </si>
  <si>
    <t xml:space="preserve">20260724000651</t>
  </si>
  <si>
    <t xml:space="preserve">유한회사 유벤투스홀딩스 투자목적회사</t>
  </si>
  <si>
    <t xml:space="preserve">주식 근질권 계약</t>
  </si>
  <si>
    <r>
      <rPr>
        <sz val="11"/>
        <color theme="1"/>
        <rFont val="Calibri"/>
        <family val="2"/>
        <charset val="1"/>
      </rPr>
      <t xml:space="preserve">NH</t>
    </r>
    <r>
      <rPr>
        <sz val="11"/>
        <color theme="1"/>
        <rFont val="나눔고딕"/>
        <family val="2"/>
      </rPr>
      <t xml:space="preserve">투자증권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</si>
  <si>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2025-07-25</t>
  </si>
  <si>
    <t xml:space="preserve">이선근</t>
  </si>
  <si>
    <t xml:space="preserve">주식 질권설정 계약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</si>
  <si>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꿈비</t>
    </r>
  </si>
  <si>
    <t xml:space="preserve">20260727000284</t>
  </si>
  <si>
    <t xml:space="preserve">김대일</t>
  </si>
  <si>
    <t xml:space="preserve">2025-12-21</t>
  </si>
  <si>
    <t xml:space="preserve">2026-12-21</t>
  </si>
  <si>
    <t xml:space="preserve">김권호</t>
  </si>
  <si>
    <t xml:space="preserve">2025-01-22</t>
  </si>
  <si>
    <t xml:space="preserve">20260630000989</t>
  </si>
  <si>
    <t xml:space="preserve">2027-01-21</t>
  </si>
  <si>
    <t xml:space="preserve">2022-06-14</t>
  </si>
  <si>
    <r>
      <rPr>
        <sz val="11"/>
        <color theme="1"/>
        <rFont val="Calibri"/>
        <family val="2"/>
        <charset val="1"/>
      </rPr>
      <t xml:space="preserve">KB</t>
    </r>
    <r>
      <rPr>
        <sz val="11"/>
        <color theme="1"/>
        <rFont val="나눔고딕"/>
        <family val="2"/>
      </rPr>
      <t xml:space="preserve">은행</t>
    </r>
  </si>
  <si>
    <t xml:space="preserve">2023-05-31</t>
  </si>
  <si>
    <t xml:space="preserve">한국수출입은행</t>
  </si>
  <si>
    <t xml:space="preserve">2024-05-16</t>
  </si>
  <si>
    <t xml:space="preserve">메리츠증권</t>
  </si>
  <si>
    <t xml:space="preserve">2024-04-23</t>
  </si>
  <si>
    <t xml:space="preserve">2026-02-02</t>
  </si>
  <si>
    <t xml:space="preserve">20260804000500</t>
  </si>
  <si>
    <t xml:space="preserve">이환철</t>
  </si>
  <si>
    <t xml:space="preserve">2026-04-14</t>
  </si>
  <si>
    <t xml:space="preserve">2027-04-14</t>
  </si>
  <si>
    <t xml:space="preserve">20260623000309</t>
  </si>
  <si>
    <t xml:space="preserve">방시혁</t>
  </si>
  <si>
    <t xml:space="preserve">2027-05-31</t>
  </si>
  <si>
    <t xml:space="preserve">20260601001585</t>
  </si>
  <si>
    <t xml:space="preserve">김현태</t>
  </si>
  <si>
    <t xml:space="preserve">2026-06-04</t>
  </si>
  <si>
    <t xml:space="preserve">2026-09-04</t>
  </si>
  <si>
    <t xml:space="preserve">주식근질권설정</t>
  </si>
  <si>
    <t xml:space="preserve">2026-12-30</t>
  </si>
  <si>
    <t xml:space="preserve">20260703000489</t>
  </si>
  <si>
    <t xml:space="preserve">유명한</t>
  </si>
  <si>
    <t xml:space="preserve">2026-05-27</t>
  </si>
  <si>
    <t xml:space="preserve">양세훈</t>
  </si>
  <si>
    <r>
      <rPr>
        <sz val="11"/>
        <color theme="1"/>
        <rFont val="Calibri"/>
        <family val="2"/>
        <charset val="1"/>
      </rPr>
      <t xml:space="preserve">IBK</t>
    </r>
    <r>
      <rPr>
        <sz val="11"/>
        <color theme="1"/>
        <rFont val="나눔고딕"/>
        <family val="2"/>
      </rPr>
      <t xml:space="preserve">증권</t>
    </r>
  </si>
  <si>
    <t xml:space="preserve">최대주주 변경 — 원문 수치</t>
  </si>
  <si>
    <r>
      <rPr>
        <sz val="9"/>
        <color rgb="FF6B7280"/>
        <rFont val="나눔고딕"/>
        <family val="2"/>
      </rPr>
      <t xml:space="preserve">인수자금</t>
    </r>
    <r>
      <rPr>
        <sz val="9"/>
        <color rgb="FF6B7280"/>
        <rFont val="Cambria"/>
        <family val="0"/>
        <charset val="1"/>
      </rPr>
      <t xml:space="preserve">·</t>
    </r>
    <r>
      <rPr>
        <sz val="9"/>
        <color rgb="FF6B7280"/>
        <rFont val="나눔고딕"/>
        <family val="2"/>
      </rPr>
      <t xml:space="preserve">양수도 대금이 곧 구 대주주에게 유입된 금액이다</t>
    </r>
    <r>
      <rPr>
        <sz val="9"/>
        <color rgb="FF6B7280"/>
        <rFont val="Cambria"/>
        <family val="0"/>
        <charset val="1"/>
      </rPr>
      <t xml:space="preserve">.</t>
    </r>
  </si>
  <si>
    <t xml:space="preserve">변경 전 최대주주</t>
  </si>
  <si>
    <t xml:space="preserve">변경 후 최대주주</t>
  </si>
  <si>
    <r>
      <rPr>
        <b val="true"/>
        <sz val="10"/>
        <color rgb="FFFFFFFF"/>
        <rFont val="나눔고딕"/>
        <family val="2"/>
      </rPr>
      <t xml:space="preserve">변경 전 지분</t>
    </r>
    <r>
      <rPr>
        <b val="true"/>
        <sz val="10"/>
        <color rgb="FFFFFFFF"/>
        <rFont val="Cambria"/>
        <family val="0"/>
        <charset val="1"/>
      </rPr>
      <t xml:space="preserve">(%)</t>
    </r>
  </si>
  <si>
    <r>
      <rPr>
        <b val="true"/>
        <sz val="10"/>
        <color rgb="FFFFFFFF"/>
        <rFont val="나눔고딕"/>
        <family val="2"/>
      </rPr>
      <t xml:space="preserve">변경 후 지분</t>
    </r>
    <r>
      <rPr>
        <b val="true"/>
        <sz val="10"/>
        <color rgb="FFFFFFFF"/>
        <rFont val="Cambria"/>
        <family val="0"/>
        <charset val="1"/>
      </rPr>
      <t xml:space="preserve">(%)</t>
    </r>
  </si>
  <si>
    <t xml:space="preserve">변경일</t>
  </si>
  <si>
    <r>
      <rPr>
        <b val="true"/>
        <sz val="10"/>
        <color rgb="FFFFFFFF"/>
        <rFont val="나눔고딕"/>
        <family val="2"/>
      </rPr>
      <t xml:space="preserve">거래금액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원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</si>
  <si>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나눔고딕"/>
        <family val="2"/>
      </rPr>
      <t xml:space="preserve">자기자금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원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</si>
  <si>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나눔고딕"/>
        <family val="2"/>
      </rPr>
      <t xml:space="preserve">차입금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원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</si>
  <si>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사유</t>
  </si>
  <si>
    <r>
      <rPr>
        <sz val="11"/>
        <color theme="1"/>
        <rFont val="나눔고딕"/>
        <family val="2"/>
      </rPr>
      <t xml:space="preserve">김성은외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</si>
  <si>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주식회사 케이일레븐파트너스외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</t>
    </r>
  </si>
  <si>
    <t xml:space="preserve">특수관계인간 주식 취득 및 처분</t>
  </si>
  <si>
    <t xml:space="preserve">20260615800895</t>
  </si>
  <si>
    <r>
      <rPr>
        <sz val="11"/>
        <color theme="1"/>
        <rFont val="나눔고딕"/>
        <family val="2"/>
      </rPr>
      <t xml:space="preserve">정구용 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</si>
  <si>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정혜승 외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</t>
    </r>
  </si>
  <si>
    <t xml:space="preserve">변경 전 최대주주 정구용 회장 사망에 따른 상속</t>
  </si>
  <si>
    <t xml:space="preserve">20260318800142</t>
  </si>
  <si>
    <r>
      <rPr>
        <sz val="11"/>
        <color theme="1"/>
        <rFont val="나눔고딕"/>
        <family val="2"/>
      </rPr>
      <t xml:space="preserve">장홍선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</si>
  <si>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장선우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명</t>
    </r>
  </si>
  <si>
    <t xml:space="preserve">특수관계인 간의 주식거래로 인한 최대주주의 변경</t>
  </si>
  <si>
    <t xml:space="preserve">20251124800312</t>
  </si>
  <si>
    <r>
      <rPr>
        <sz val="11"/>
        <color theme="1"/>
        <rFont val="나눔고딕"/>
        <family val="2"/>
      </rPr>
      <t xml:space="preserve">임형기 외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</t>
    </r>
  </si>
  <si>
    <t xml:space="preserve">최대주주 임형기 별세에 따른 변경</t>
  </si>
  <si>
    <t xml:space="preserve">20260601900524</t>
  </si>
  <si>
    <r>
      <rPr>
        <sz val="11"/>
        <color theme="1"/>
        <rFont val="나눔고딕"/>
        <family val="2"/>
      </rPr>
      <t xml:space="preserve">염병만외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</si>
  <si>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염병진외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</si>
  <si>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최대주주의 지분 증여 증여자 염병만</t>
    </r>
    <r>
      <rPr>
        <sz val="11"/>
        <color theme="1"/>
        <rFont val="Calibri"/>
        <family val="2"/>
        <charset val="1"/>
      </rPr>
      <t xml:space="preserve">(1,060,000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수증자 염수진</t>
    </r>
    <r>
      <rPr>
        <sz val="11"/>
        <color theme="1"/>
        <rFont val="Calibri"/>
        <family val="2"/>
        <charset val="1"/>
      </rPr>
      <t xml:space="preserve">(220,000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염지영</t>
    </r>
    <r>
      <rPr>
        <sz val="11"/>
        <color theme="1"/>
        <rFont val="Calibri"/>
        <family val="2"/>
        <charset val="1"/>
      </rPr>
      <t xml:space="preserve">(220,000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장기훈</t>
    </r>
    <r>
      <rPr>
        <sz val="11"/>
        <color theme="1"/>
        <rFont val="Calibri"/>
        <family val="2"/>
        <charset val="1"/>
      </rPr>
      <t xml:space="preserve">(160,000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정현준</t>
    </r>
    <r>
      <rPr>
        <sz val="11"/>
        <color theme="1"/>
        <rFont val="Calibri"/>
        <family val="2"/>
        <charset val="1"/>
      </rPr>
      <t xml:space="preserve">(160,000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장천익</t>
    </r>
    <r>
      <rPr>
        <sz val="11"/>
        <color theme="1"/>
        <rFont val="Calibri"/>
        <family val="2"/>
        <charset val="1"/>
      </rPr>
      <t xml:space="preserve">(150,000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정경훈</t>
    </r>
    <r>
      <rPr>
        <sz val="11"/>
        <color theme="1"/>
        <rFont val="Calibri"/>
        <family val="2"/>
        <charset val="1"/>
      </rPr>
      <t xml:space="preserve">(150,000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합계</t>
    </r>
    <r>
      <rPr>
        <sz val="11"/>
        <color theme="1"/>
        <rFont val="Calibri"/>
        <family val="2"/>
        <charset val="1"/>
      </rPr>
      <t xml:space="preserve">(1,060,000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</si>
  <si>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20260408800949</t>
  </si>
  <si>
    <r>
      <rPr>
        <sz val="11"/>
        <color theme="1"/>
        <rFont val="나눔고딕"/>
        <family val="2"/>
      </rPr>
      <t xml:space="preserve">도용환외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인</t>
    </r>
  </si>
  <si>
    <t xml:space="preserve">The Miri Strategic Emerging Markets Fund LP</t>
  </si>
  <si>
    <r>
      <rPr>
        <sz val="11"/>
        <color theme="1"/>
        <rFont val="나눔고딕"/>
        <family val="2"/>
      </rPr>
      <t xml:space="preserve">도용환과 </t>
    </r>
    <r>
      <rPr>
        <sz val="11"/>
        <color theme="1"/>
        <rFont val="Calibri"/>
        <family val="2"/>
        <charset val="1"/>
      </rPr>
      <t xml:space="preserve">The Miri Strategic Emerging Markets Fund LP </t>
    </r>
    <r>
      <rPr>
        <sz val="11"/>
        <color theme="1"/>
        <rFont val="나눔고딕"/>
        <family val="2"/>
      </rPr>
      <t xml:space="preserve">사이에 체결된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나눔고딕"/>
        <family val="2"/>
      </rPr>
      <t xml:space="preserve">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월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나눔고딕"/>
        <family val="2"/>
      </rPr>
      <t xml:space="preserve">일자 주식매매계약의 거래 종결로 인한 최대주주 변경</t>
    </r>
  </si>
  <si>
    <t xml:space="preserve">20260304800680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</si>
  <si>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)IHC </t>
    </r>
    <r>
      <rPr>
        <sz val="11"/>
        <color theme="1"/>
        <rFont val="나눔고딕"/>
        <family val="2"/>
      </rPr>
      <t xml:space="preserve">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</si>
  <si>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모트렉스이에프엠 주식회사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</t>
    </r>
  </si>
  <si>
    <t xml:space="preserve">최대주주 변경을 수반하는 주식매매계약</t>
  </si>
  <si>
    <t xml:space="preserve">20260731800717</t>
  </si>
  <si>
    <r>
      <rPr>
        <sz val="11"/>
        <color theme="1"/>
        <rFont val="나눔고딕"/>
        <family val="2"/>
      </rPr>
      <t xml:space="preserve">김상환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</si>
  <si>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엠에이치그룹홀딩스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</t>
    </r>
  </si>
  <si>
    <t xml:space="preserve">계약에 의한 매도</t>
  </si>
  <si>
    <t xml:space="preserve">20260130801106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</si>
  <si>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바른손이앤에이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</si>
  <si>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지피클럽외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</si>
  <si>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자배정 유상증자 납입을 통한 최대주주 변경</t>
    </r>
  </si>
  <si>
    <t xml:space="preserve">20260728900445</t>
  </si>
  <si>
    <r>
      <rPr>
        <sz val="11"/>
        <color theme="1"/>
        <rFont val="나눔고딕"/>
        <family val="2"/>
      </rPr>
      <t xml:space="preserve">김장연 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</si>
  <si>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김현정 외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명</t>
    </r>
  </si>
  <si>
    <t xml:space="preserve">변경 전 최대주주 김장연 회장 사망에 따른 상속</t>
  </si>
  <si>
    <t xml:space="preserve">20260102800376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</si>
  <si>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제이에이치사람들외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</si>
  <si>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제이에이치사람들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</si>
  <si>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제이에이치사람들과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햇발 사이에 체결된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나눔고딕"/>
        <family val="2"/>
      </rPr>
      <t xml:space="preserve">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나눔고딕"/>
        <family val="2"/>
      </rPr>
      <t xml:space="preserve">월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나눔고딕"/>
        <family val="2"/>
      </rPr>
      <t xml:space="preserve">일자 주식양수도 계약체결의 이행으로 인한 최대주주 변경</t>
    </r>
  </si>
  <si>
    <t xml:space="preserve">20251202800357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</si>
  <si>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심팩홀딩스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</si>
  <si>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최진식 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</si>
  <si>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주식회사 </t>
    </r>
    <r>
      <rPr>
        <sz val="11"/>
        <color theme="1"/>
        <rFont val="Calibri"/>
        <family val="2"/>
        <charset val="1"/>
      </rPr>
      <t xml:space="preserve">SIMPAC(</t>
    </r>
    <r>
      <rPr>
        <sz val="11"/>
        <color theme="1"/>
        <rFont val="나눔고딕"/>
        <family val="2"/>
      </rPr>
      <t xml:space="preserve">존속회사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과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심팩홀딩스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소멸회사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간 흡수합병으로 인한 최대주주 변경</t>
    </r>
  </si>
  <si>
    <t xml:space="preserve">20251215801703</t>
  </si>
  <si>
    <t xml:space="preserve">국민연금공단</t>
  </si>
  <si>
    <r>
      <rPr>
        <sz val="11"/>
        <color theme="1"/>
        <rFont val="나눔고딕"/>
        <family val="2"/>
      </rPr>
      <t xml:space="preserve">조동혁 외 특수관계인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나눔고딕"/>
        <family val="2"/>
      </rPr>
      <t xml:space="preserve">인</t>
    </r>
  </si>
  <si>
    <t xml:space="preserve">변경전 최대주주의 지분율 감소</t>
  </si>
  <si>
    <t xml:space="preserve">20260701801017</t>
  </si>
  <si>
    <r>
      <rPr>
        <sz val="11"/>
        <color theme="1"/>
        <rFont val="나눔고딕"/>
        <family val="2"/>
      </rPr>
      <t xml:space="preserve">나주영외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</si>
  <si>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나채민외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</si>
  <si>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기존 최대주주의 증여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나눔고딕"/>
        <family val="2"/>
      </rPr>
      <t xml:space="preserve">수증에 따른 최대주주변경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증여자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나눔고딕"/>
        <family val="2"/>
      </rPr>
      <t xml:space="preserve">나주영 </t>
    </r>
    <r>
      <rPr>
        <sz val="11"/>
        <color theme="1"/>
        <rFont val="Calibri"/>
        <family val="2"/>
        <charset val="1"/>
      </rPr>
      <t xml:space="preserve">(1,850,000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- </t>
    </r>
    <r>
      <rPr>
        <sz val="11"/>
        <color theme="1"/>
        <rFont val="나눔고딕"/>
        <family val="2"/>
      </rPr>
      <t xml:space="preserve">수증자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나눔고딕"/>
        <family val="2"/>
      </rPr>
      <t xml:space="preserve">나채민 </t>
    </r>
    <r>
      <rPr>
        <sz val="11"/>
        <color theme="1"/>
        <rFont val="Calibri"/>
        <family val="2"/>
        <charset val="1"/>
      </rPr>
      <t xml:space="preserve">(1,850,000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</si>
  <si>
    <t xml:space="preserve">20260401901251</t>
  </si>
  <si>
    <r>
      <rPr>
        <sz val="11"/>
        <color theme="1"/>
        <rFont val="나눔고딕"/>
        <family val="2"/>
      </rPr>
      <t xml:space="preserve">이광식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</si>
  <si>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이원범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</si>
  <si>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기존 최대주주와 특수관계인간 증여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나눔고딕"/>
        <family val="2"/>
      </rPr>
      <t xml:space="preserve">수증에 따른 최대주주의 변경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나눔고딕"/>
        <family val="2"/>
      </rPr>
      <t xml:space="preserve">증여자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나눔고딕"/>
        <family val="2"/>
      </rPr>
      <t xml:space="preserve">이광식 </t>
    </r>
    <r>
      <rPr>
        <sz val="11"/>
        <color theme="1"/>
        <rFont val="Calibri"/>
        <family val="2"/>
        <charset val="1"/>
      </rPr>
      <t xml:space="preserve">1,860,000 - </t>
    </r>
    <r>
      <rPr>
        <sz val="11"/>
        <color theme="1"/>
        <rFont val="나눔고딕"/>
        <family val="2"/>
      </rPr>
      <t xml:space="preserve">수증자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나눔고딕"/>
        <family val="2"/>
      </rPr>
      <t xml:space="preserve">이원범 </t>
    </r>
    <r>
      <rPr>
        <sz val="11"/>
        <color theme="1"/>
        <rFont val="Calibri"/>
        <family val="2"/>
        <charset val="1"/>
      </rPr>
      <t xml:space="preserve">1,860,000</t>
    </r>
  </si>
  <si>
    <t xml:space="preserve">20251030800491</t>
  </si>
  <si>
    <r>
      <rPr>
        <sz val="11"/>
        <color theme="1"/>
        <rFont val="나눔고딕"/>
        <family val="2"/>
      </rPr>
      <t xml:space="preserve">윤남철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</si>
  <si>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윤성호 외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나눔고딕"/>
        <family val="2"/>
      </rPr>
      <t xml:space="preserve">인</t>
    </r>
  </si>
  <si>
    <t xml:space="preserve">증여에 따른 최대주주 변경</t>
  </si>
  <si>
    <t xml:space="preserve">20260413800449</t>
  </si>
  <si>
    <r>
      <rPr>
        <sz val="11"/>
        <color theme="1"/>
        <rFont val="나눔고딕"/>
        <family val="2"/>
      </rPr>
      <t xml:space="preserve">김형육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</t>
    </r>
  </si>
  <si>
    <r>
      <rPr>
        <sz val="11"/>
        <color theme="1"/>
        <rFont val="나눔고딕"/>
        <family val="2"/>
      </rPr>
      <t xml:space="preserve">김윤상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명</t>
    </r>
  </si>
  <si>
    <t xml:space="preserve">주식관리신탁 계약에 따른 최대주주 변경</t>
  </si>
  <si>
    <t xml:space="preserve">20260127900802</t>
  </si>
  <si>
    <t xml:space="preserve">중소기업은행</t>
  </si>
  <si>
    <t xml:space="preserve">국민연금공단의 소유주식수 감소</t>
  </si>
  <si>
    <t xml:space="preserve">20260122800431</t>
  </si>
  <si>
    <t xml:space="preserve">김정근</t>
  </si>
  <si>
    <r>
      <rPr>
        <sz val="11"/>
        <color theme="1"/>
        <rFont val="나눔고딕"/>
        <family val="2"/>
      </rPr>
      <t xml:space="preserve">김성연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</t>
    </r>
  </si>
  <si>
    <t xml:space="preserve">최대주주 사망에 따른 상속 개시</t>
  </si>
  <si>
    <t xml:space="preserve">20260723901022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</si>
  <si>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브이핑크홀딩스</t>
    </r>
  </si>
  <si>
    <r>
      <rPr>
        <sz val="11"/>
        <color theme="1"/>
        <rFont val="나눔고딕"/>
        <family val="2"/>
      </rPr>
      <t xml:space="preserve">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나눔고딕"/>
        <family val="2"/>
      </rPr>
      <t xml:space="preserve">자배정 유상증자</t>
    </r>
  </si>
  <si>
    <t xml:space="preserve">20251224900995</t>
  </si>
  <si>
    <t xml:space="preserve">최대주주 변경을 수반하는 주식양수도 계약 체결</t>
  </si>
  <si>
    <t xml:space="preserve">20260630901591</t>
  </si>
  <si>
    <r>
      <rPr>
        <sz val="11"/>
        <color theme="1"/>
        <rFont val="나눔고딕"/>
        <family val="2"/>
      </rPr>
      <t xml:space="preserve">김형육 외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</si>
  <si>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김윤상 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</t>
    </r>
  </si>
  <si>
    <t xml:space="preserve">최대주주 김형육 별세에 따른 변경</t>
  </si>
  <si>
    <t xml:space="preserve">20260720900585</t>
  </si>
  <si>
    <r>
      <rPr>
        <sz val="11"/>
        <color theme="1"/>
        <rFont val="나눔고딕"/>
        <family val="2"/>
      </rPr>
      <t xml:space="preserve">㈜시너지이노베이션외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</si>
  <si>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윤진파트너스㈜외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</t>
    </r>
  </si>
  <si>
    <t xml:space="preserve">20260804900915</t>
  </si>
  <si>
    <r>
      <rPr>
        <sz val="11"/>
        <color theme="1"/>
        <rFont val="나눔고딕"/>
        <family val="2"/>
      </rPr>
      <t xml:space="preserve">㈜관악상사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</si>
  <si>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그린케미칼㈜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</t>
    </r>
  </si>
  <si>
    <t xml:space="preserve">특수관계자의 장내매수로 인한 최대주주 변경</t>
  </si>
  <si>
    <t xml:space="preserve">20260722900912</t>
  </si>
  <si>
    <r>
      <rPr>
        <sz val="11"/>
        <color theme="1"/>
        <rFont val="나눔고딕"/>
        <family val="2"/>
      </rPr>
      <t xml:space="preserve">김남헌 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</si>
  <si>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나눔고딕"/>
        <family val="2"/>
      </rPr>
      <t xml:space="preserve">최우형 外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</t>
    </r>
  </si>
  <si>
    <t xml:space="preserve">기존 최대주주의 시간외매매에 따른 최대주주 변경</t>
  </si>
  <si>
    <t xml:space="preserve">20250922900494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</si>
  <si>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)SNT</t>
    </r>
    <r>
      <rPr>
        <sz val="11"/>
        <color theme="1"/>
        <rFont val="나눔고딕"/>
        <family val="2"/>
      </rPr>
      <t xml:space="preserve">홀딩스 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</si>
  <si>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Calibri"/>
        <family val="2"/>
        <charset val="1"/>
      </rPr>
      <t xml:space="preserve">SNT</t>
    </r>
    <r>
      <rPr>
        <sz val="11"/>
        <color theme="1"/>
        <rFont val="나눔고딕"/>
        <family val="2"/>
      </rPr>
      <t xml:space="preserve">모티브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나눔고딕"/>
        <family val="2"/>
      </rPr>
      <t xml:space="preserve">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나눔고딕"/>
        <family val="2"/>
      </rPr>
      <t xml:space="preserve">인</t>
    </r>
  </si>
  <si>
    <t xml:space="preserve">특수관계인 간의 시간외대량매매에 따른 최대주주 변경</t>
  </si>
  <si>
    <t xml:space="preserve">20260424900671</t>
  </si>
  <si>
    <t xml:space="preserve">구철모</t>
  </si>
  <si>
    <t xml:space="preserve">유한회사 유벤투스홀딩스투자목적회사</t>
  </si>
  <si>
    <r>
      <rPr>
        <sz val="11"/>
        <color theme="1"/>
        <rFont val="나눔고딕"/>
        <family val="2"/>
      </rPr>
      <t xml:space="preserve">콜옵션 행사에 따른 공개매수</t>
    </r>
    <r>
      <rPr>
        <sz val="11"/>
        <color theme="1"/>
        <rFont val="Calibri"/>
        <family val="2"/>
        <charset val="1"/>
      </rPr>
      <t xml:space="preserve">(2025.07.28~2025.09.10) </t>
    </r>
    <r>
      <rPr>
        <sz val="11"/>
        <color theme="1"/>
        <rFont val="나눔고딕"/>
        <family val="2"/>
      </rPr>
      <t xml:space="preserve">응모 및 대금지급에 따른 최대주주 변경</t>
    </r>
  </si>
  <si>
    <t xml:space="preserve">20250912900506</t>
  </si>
  <si>
    <r>
      <rPr>
        <sz val="11"/>
        <color theme="1"/>
        <rFont val="나눔고딕"/>
        <family val="2"/>
      </rPr>
      <t xml:space="preserve">호일바이오메드외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</si>
  <si>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나눔고딕"/>
        <family val="2"/>
      </rPr>
      <t xml:space="preserve">김기옥외</t>
    </r>
    <r>
      <rPr>
        <sz val="11"/>
        <color theme="1"/>
        <rFont val="Calibri"/>
        <family val="2"/>
        <charset val="1"/>
      </rPr>
      <t xml:space="preserve">10</t>
    </r>
  </si>
  <si>
    <t xml:space="preserve">특별관계자간 주식 양수도</t>
  </si>
  <si>
    <t xml:space="preserve">20260219901034</t>
  </si>
  <si>
    <r>
      <rPr>
        <sz val="11"/>
        <color theme="1"/>
        <rFont val="나눔고딕"/>
        <family val="2"/>
      </rPr>
      <t xml:space="preserve">이선근 외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나눔고딕"/>
        <family val="2"/>
      </rPr>
      <t xml:space="preserve">인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</si>
  <si>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나눔고딕"/>
        <family val="2"/>
      </rPr>
      <t xml:space="preserve">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나눔고딕"/>
        <family val="2"/>
      </rPr>
      <t xml:space="preserve">꿈비 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나눔고딕"/>
        <family val="2"/>
      </rPr>
      <t xml:space="preserve">인</t>
    </r>
  </si>
  <si>
    <t xml:space="preserve">주식매매계약 이행에 따른 변경</t>
  </si>
  <si>
    <t xml:space="preserve">20260723900535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</si>
</sst>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;\(#,##0\);\-"/>
    <numFmt numFmtId="167" formatCode="0.0;\(0.0\);\-"/>
  </numFmts>
  <fonts count="12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1827"/>
      <name val="나눔고딕"/>
      <family val="2"/>
    </font>
    <font>
      <sz val="9"/>
      <color rgb="FF6B7280"/>
      <name val="나눔고딕"/>
      <family val="2"/>
    </font>
    <font>
      <sz val="9"/>
      <color rgb="FF6B7280"/>
      <name val="Cambria"/>
      <family val="0"/>
      <charset val="1"/>
    </font>
    <font>
      <b val="true"/>
      <sz val="11"/>
      <name val="나눔고딕"/>
      <family val="2"/>
    </font>
    <font>
      <sz val="11"/>
      <color theme="1"/>
      <name val="Calibri"/>
      <family val="2"/>
      <charset val="1"/>
    </font>
    <font>
      <b val="true"/>
      <sz val="10"/>
      <color rgb="FFFFFFFF"/>
      <name val="나눔고딕"/>
      <family val="2"/>
    </font>
    <font>
      <b val="true"/>
      <sz val="14"/>
      <color rgb="FF101827"/>
      <name val="Cambria"/>
      <family val="0"/>
      <charset val="1"/>
    </font>
    <font>
      <b val="true"/>
      <sz val="10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01827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9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0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5E9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101827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10.85"/>
    <col collapsed="false" customWidth="true" hidden="false" outlineLevel="0" max="3" min="3" style="0" width="6.68"/>
    <col collapsed="false" customWidth="true" hidden="false" outlineLevel="0" max="4" min="4" style="0" width="9.18"/>
    <col collapsed="false" customWidth="true" hidden="false" outlineLevel="0" max="5" min="5" style="0" width="7.51"/>
    <col collapsed="false" customWidth="true" hidden="false" outlineLevel="0" max="6" min="6" style="0" width="33.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0" t="n">
        <v>100</v>
      </c>
    </row>
    <row r="6" customFormat="false" ht="15" hidden="false" customHeight="false" outlineLevel="0" collapsed="false">
      <c r="A6" s="3" t="s">
        <v>5</v>
      </c>
      <c r="B6" s="4" t="s">
        <v>6</v>
      </c>
    </row>
    <row r="7" customFormat="false" ht="15" hidden="false" customHeight="false" outlineLevel="0" collapsed="false">
      <c r="A7" s="3" t="s">
        <v>7</v>
      </c>
      <c r="B7" s="4" t="s">
        <v>8</v>
      </c>
    </row>
    <row r="9" customFormat="false" ht="15" hidden="false" customHeight="false" outlineLevel="0" collapsed="false">
      <c r="A9" s="3" t="s">
        <v>9</v>
      </c>
    </row>
    <row r="10" customFormat="false" ht="30" hidden="false" customHeight="true" outlineLevel="0" collapsed="false">
      <c r="A10" s="5" t="s">
        <v>10</v>
      </c>
      <c r="B10" s="5" t="s">
        <v>11</v>
      </c>
      <c r="C10" s="5" t="s">
        <v>12</v>
      </c>
      <c r="D10" s="5" t="s">
        <v>13</v>
      </c>
      <c r="E10" s="5" t="s">
        <v>14</v>
      </c>
      <c r="F10" s="5" t="s">
        <v>15</v>
      </c>
    </row>
    <row r="11" customFormat="false" ht="15" hidden="false" customHeight="false" outlineLevel="0" collapsed="false">
      <c r="A11" s="6" t="s">
        <v>16</v>
      </c>
      <c r="B11" s="6" t="n">
        <v>80</v>
      </c>
      <c r="C11" s="6" t="n">
        <v>100</v>
      </c>
      <c r="D11" s="7" t="n">
        <f aca="false">IF(C11=0,0,B11/C11)</f>
        <v>0.8</v>
      </c>
      <c r="E11" s="6" t="n">
        <f aca="false">COUNTA(금융상품운용!B5:B2000)</f>
        <v>80</v>
      </c>
      <c r="F11" s="6" t="s">
        <v>17</v>
      </c>
    </row>
    <row r="12" customFormat="false" ht="15" hidden="false" customHeight="false" outlineLevel="0" collapsed="false">
      <c r="A12" s="6" t="s">
        <v>18</v>
      </c>
      <c r="B12" s="6" t="n">
        <v>75</v>
      </c>
      <c r="C12" s="6" t="n">
        <v>100</v>
      </c>
      <c r="D12" s="7" t="n">
        <f aca="false">IF(C12=0,0,B12/C12)</f>
        <v>0.75</v>
      </c>
      <c r="E12" s="6" t="n">
        <f aca="false">COUNTA(퇴직연금!B5:B2000)</f>
        <v>75</v>
      </c>
      <c r="F12" s="6" t="s">
        <v>19</v>
      </c>
    </row>
    <row r="13" customFormat="false" ht="15" hidden="false" customHeight="false" outlineLevel="0" collapsed="false">
      <c r="A13" s="6" t="s">
        <v>20</v>
      </c>
      <c r="B13" s="6" t="n">
        <v>80</v>
      </c>
      <c r="C13" s="6" t="n">
        <v>100</v>
      </c>
      <c r="D13" s="7" t="n">
        <f aca="false">IF(C13=0,0,B13/C13)</f>
        <v>0.8</v>
      </c>
      <c r="E13" s="6" t="n">
        <f aca="false">COUNTA(자사주처분!B5:B2000)</f>
        <v>80</v>
      </c>
      <c r="F13" s="6" t="s">
        <v>21</v>
      </c>
    </row>
    <row r="14" customFormat="false" ht="15" hidden="false" customHeight="false" outlineLevel="0" collapsed="false">
      <c r="A14" s="6" t="s">
        <v>22</v>
      </c>
      <c r="B14" s="6" t="n">
        <v>55</v>
      </c>
      <c r="C14" s="6" t="n">
        <v>100</v>
      </c>
      <c r="D14" s="7" t="n">
        <f aca="false">IF(C14=0,0,B14/C14)</f>
        <v>0.55</v>
      </c>
      <c r="E14" s="6" t="n">
        <f aca="false">COUNTA(주식담보대출!B5:B2000)</f>
        <v>55</v>
      </c>
      <c r="F14" s="6" t="s">
        <v>23</v>
      </c>
    </row>
    <row r="15" customFormat="false" ht="15" hidden="false" customHeight="false" outlineLevel="0" collapsed="false">
      <c r="A15" s="6" t="s">
        <v>24</v>
      </c>
      <c r="B15" s="6" t="n">
        <v>0</v>
      </c>
      <c r="C15" s="6" t="n">
        <v>100</v>
      </c>
      <c r="D15" s="7" t="n">
        <f aca="false">IF(C15=0,0,B15/C15)</f>
        <v>0</v>
      </c>
      <c r="E15" s="6" t="n">
        <f aca="false">COUNTA(임직원주식보상!B5:B2000)</f>
        <v>0</v>
      </c>
      <c r="F15" s="6" t="s">
        <v>25</v>
      </c>
    </row>
    <row r="16" customFormat="false" ht="15" hidden="false" customHeight="false" outlineLevel="0" collapsed="false">
      <c r="A16" s="6" t="s">
        <v>26</v>
      </c>
      <c r="B16" s="6" t="n">
        <v>27</v>
      </c>
      <c r="C16" s="6" t="n">
        <v>100</v>
      </c>
      <c r="D16" s="7" t="n">
        <f aca="false">IF(C16=0,0,B16/C16)</f>
        <v>0.27</v>
      </c>
      <c r="E16" s="6" t="n">
        <f aca="false">COUNTA(대주주자금운용!B5:B2000)</f>
        <v>27</v>
      </c>
      <c r="F16" s="6" t="s">
        <v>27</v>
      </c>
    </row>
    <row r="17" customFormat="false" ht="15" hidden="false" customHeight="false" outlineLevel="0" collapsed="false">
      <c r="A17" s="3" t="s">
        <v>28</v>
      </c>
      <c r="E17" s="3" t="n">
        <f aca="false">SUM(E11:E16)</f>
        <v>317</v>
      </c>
    </row>
    <row r="19" customFormat="false" ht="15" hidden="false" customHeight="false" outlineLevel="0" collapsed="false">
      <c r="A19" s="3" t="s">
        <v>29</v>
      </c>
    </row>
    <row r="20" customFormat="false" ht="15" hidden="false" customHeight="false" outlineLevel="0" collapsed="false">
      <c r="A20" s="8" t="s">
        <v>30</v>
      </c>
    </row>
    <row r="21" customFormat="false" ht="15" hidden="false" customHeight="false" outlineLevel="0" collapsed="false">
      <c r="A21" s="8" t="s">
        <v>31</v>
      </c>
    </row>
    <row r="22" customFormat="false" ht="15" hidden="false" customHeight="false" outlineLevel="0" collapsed="false">
      <c r="A22" s="8" t="s">
        <v>32</v>
      </c>
    </row>
    <row r="23" customFormat="false" ht="15" hidden="false" customHeight="false" outlineLevel="0" collapsed="false">
      <c r="A23" s="8" t="s">
        <v>33</v>
      </c>
    </row>
    <row r="24" customFormat="false" ht="15" hidden="false" customHeight="false" outlineLevel="0" collapsed="false">
      <c r="A24" s="8" t="s">
        <v>34</v>
      </c>
    </row>
    <row r="25" customFormat="false" ht="15" hidden="false" customHeight="false" outlineLevel="0" collapsed="false">
      <c r="A25" s="8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8.35"/>
    <col collapsed="false" customWidth="true" hidden="false" outlineLevel="0" max="3" min="3" style="0" width="9.18"/>
    <col collapsed="false" customWidth="true" hidden="false" outlineLevel="0" max="4" min="4" style="0" width="7.51"/>
    <col collapsed="false" customWidth="true" hidden="false" outlineLevel="0" max="5" min="5" style="0" width="21.7"/>
    <col collapsed="false" customWidth="true" hidden="false" outlineLevel="0" max="6" min="6" style="0" width="12.52"/>
    <col collapsed="false" customWidth="true" hidden="false" outlineLevel="0" max="7" min="7" style="0" width="20.03"/>
    <col collapsed="false" customWidth="true" hidden="false" outlineLevel="0" max="8" min="8" style="0" width="9.18"/>
    <col collapsed="false" customWidth="true" hidden="false" outlineLevel="0" max="10" min="9" style="0" width="6.68"/>
    <col collapsed="false" customWidth="true" hidden="false" outlineLevel="0" max="11" min="11" style="0" width="10.02"/>
  </cols>
  <sheetData>
    <row r="1" customFormat="false" ht="17.9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40</v>
      </c>
      <c r="D4" s="5" t="s">
        <v>41</v>
      </c>
      <c r="E4" s="5" t="s">
        <v>42</v>
      </c>
      <c r="F4" s="5" t="s">
        <v>43</v>
      </c>
      <c r="G4" s="5" t="s">
        <v>44</v>
      </c>
      <c r="H4" s="5" t="s">
        <v>45</v>
      </c>
      <c r="I4" s="5" t="s">
        <v>46</v>
      </c>
      <c r="J4" s="5" t="s">
        <v>47</v>
      </c>
      <c r="K4" s="5" t="s">
        <v>48</v>
      </c>
    </row>
    <row r="5" customFormat="false" ht="15" hidden="false" customHeight="false" outlineLevel="0" collapsed="false">
      <c r="A5" s="6" t="s">
        <v>49</v>
      </c>
      <c r="B5" s="9" t="s">
        <v>50</v>
      </c>
      <c r="C5" s="9" t="s">
        <v>51</v>
      </c>
      <c r="D5" s="9" t="s">
        <v>52</v>
      </c>
      <c r="E5" s="6" t="s">
        <v>53</v>
      </c>
      <c r="F5" s="10" t="n">
        <v>189662</v>
      </c>
      <c r="G5" s="6" t="s">
        <v>54</v>
      </c>
      <c r="H5" s="9" t="s">
        <v>55</v>
      </c>
      <c r="I5" s="9" t="s">
        <v>56</v>
      </c>
      <c r="J5" s="9" t="s">
        <v>56</v>
      </c>
      <c r="K5" s="9" t="s">
        <v>56</v>
      </c>
    </row>
    <row r="6" customFormat="false" ht="15" hidden="false" customHeight="false" outlineLevel="0" collapsed="false">
      <c r="A6" s="6" t="s">
        <v>57</v>
      </c>
      <c r="B6" s="9" t="s">
        <v>58</v>
      </c>
      <c r="C6" s="9" t="s">
        <v>59</v>
      </c>
      <c r="D6" s="9" t="s">
        <v>52</v>
      </c>
      <c r="E6" s="6" t="s">
        <v>60</v>
      </c>
      <c r="F6" s="10" t="n">
        <v>24234</v>
      </c>
      <c r="G6" s="6" t="s">
        <v>54</v>
      </c>
      <c r="H6" s="9" t="s">
        <v>55</v>
      </c>
      <c r="I6" s="9" t="s">
        <v>56</v>
      </c>
      <c r="J6" s="9" t="s">
        <v>56</v>
      </c>
      <c r="K6" s="9" t="s">
        <v>56</v>
      </c>
    </row>
    <row r="7" customFormat="false" ht="15" hidden="false" customHeight="false" outlineLevel="0" collapsed="false">
      <c r="A7" s="6" t="s">
        <v>61</v>
      </c>
      <c r="B7" s="9" t="s">
        <v>62</v>
      </c>
      <c r="C7" s="9" t="s">
        <v>63</v>
      </c>
      <c r="D7" s="9" t="s">
        <v>64</v>
      </c>
      <c r="E7" s="6" t="s">
        <v>65</v>
      </c>
      <c r="F7" s="10" t="n">
        <v>5456</v>
      </c>
      <c r="G7" s="6" t="s">
        <v>54</v>
      </c>
      <c r="H7" s="9" t="s">
        <v>66</v>
      </c>
      <c r="I7" s="9" t="s">
        <v>56</v>
      </c>
      <c r="J7" s="9" t="s">
        <v>56</v>
      </c>
      <c r="K7" s="9" t="s">
        <v>56</v>
      </c>
    </row>
    <row r="8" customFormat="false" ht="15" hidden="false" customHeight="false" outlineLevel="0" collapsed="false">
      <c r="A8" s="6" t="s">
        <v>67</v>
      </c>
      <c r="B8" s="9" t="s">
        <v>68</v>
      </c>
      <c r="C8" s="9" t="s">
        <v>69</v>
      </c>
      <c r="D8" s="9" t="s">
        <v>64</v>
      </c>
      <c r="E8" s="6" t="s">
        <v>70</v>
      </c>
      <c r="F8" s="10" t="n">
        <v>5128</v>
      </c>
      <c r="G8" s="6" t="s">
        <v>54</v>
      </c>
      <c r="H8" s="9" t="s">
        <v>71</v>
      </c>
      <c r="I8" s="9" t="s">
        <v>56</v>
      </c>
      <c r="J8" s="9" t="s">
        <v>56</v>
      </c>
      <c r="K8" s="9" t="s">
        <v>56</v>
      </c>
    </row>
    <row r="9" customFormat="false" ht="15" hidden="false" customHeight="false" outlineLevel="0" collapsed="false">
      <c r="A9" s="6" t="s">
        <v>72</v>
      </c>
      <c r="B9" s="9" t="s">
        <v>73</v>
      </c>
      <c r="C9" s="9" t="s">
        <v>74</v>
      </c>
      <c r="D9" s="9" t="s">
        <v>64</v>
      </c>
      <c r="E9" s="6" t="s">
        <v>75</v>
      </c>
      <c r="F9" s="10" t="n">
        <v>3140</v>
      </c>
      <c r="G9" s="6" t="s">
        <v>54</v>
      </c>
      <c r="H9" s="9" t="s">
        <v>76</v>
      </c>
      <c r="I9" s="9" t="s">
        <v>56</v>
      </c>
      <c r="J9" s="9" t="s">
        <v>56</v>
      </c>
      <c r="K9" s="9" t="s">
        <v>56</v>
      </c>
    </row>
    <row r="10" customFormat="false" ht="15" hidden="false" customHeight="false" outlineLevel="0" collapsed="false">
      <c r="A10" s="6" t="s">
        <v>77</v>
      </c>
      <c r="B10" s="9" t="s">
        <v>78</v>
      </c>
      <c r="C10" s="9" t="s">
        <v>79</v>
      </c>
      <c r="D10" s="9" t="s">
        <v>52</v>
      </c>
      <c r="E10" s="6" t="s">
        <v>80</v>
      </c>
      <c r="F10" s="10" t="n">
        <v>3137</v>
      </c>
      <c r="G10" s="6" t="s">
        <v>54</v>
      </c>
      <c r="H10" s="9" t="s">
        <v>66</v>
      </c>
      <c r="I10" s="9" t="s">
        <v>56</v>
      </c>
      <c r="J10" s="9" t="s">
        <v>56</v>
      </c>
      <c r="K10" s="9" t="s">
        <v>56</v>
      </c>
    </row>
    <row r="11" customFormat="false" ht="15" hidden="false" customHeight="false" outlineLevel="0" collapsed="false">
      <c r="A11" s="9" t="s">
        <v>81</v>
      </c>
      <c r="B11" s="9" t="s">
        <v>82</v>
      </c>
      <c r="C11" s="9" t="s">
        <v>83</v>
      </c>
      <c r="D11" s="9" t="s">
        <v>52</v>
      </c>
      <c r="E11" s="9" t="s">
        <v>84</v>
      </c>
      <c r="F11" s="10" t="n">
        <v>3101</v>
      </c>
      <c r="G11" s="6" t="s">
        <v>54</v>
      </c>
      <c r="H11" s="9" t="s">
        <v>55</v>
      </c>
      <c r="I11" s="9" t="s">
        <v>56</v>
      </c>
      <c r="J11" s="9" t="s">
        <v>56</v>
      </c>
      <c r="K11" s="9" t="s">
        <v>56</v>
      </c>
    </row>
    <row r="12" customFormat="false" ht="15" hidden="false" customHeight="false" outlineLevel="0" collapsed="false">
      <c r="A12" s="6" t="s">
        <v>85</v>
      </c>
      <c r="B12" s="9" t="s">
        <v>86</v>
      </c>
      <c r="C12" s="9" t="s">
        <v>87</v>
      </c>
      <c r="D12" s="9" t="s">
        <v>64</v>
      </c>
      <c r="E12" s="6" t="s">
        <v>88</v>
      </c>
      <c r="F12" s="10" t="n">
        <v>2730</v>
      </c>
      <c r="G12" s="6" t="s">
        <v>54</v>
      </c>
      <c r="H12" s="9" t="s">
        <v>89</v>
      </c>
      <c r="I12" s="9" t="s">
        <v>56</v>
      </c>
      <c r="J12" s="9" t="s">
        <v>56</v>
      </c>
      <c r="K12" s="9" t="s">
        <v>56</v>
      </c>
    </row>
    <row r="13" customFormat="false" ht="15" hidden="false" customHeight="false" outlineLevel="0" collapsed="false">
      <c r="A13" s="9" t="s">
        <v>90</v>
      </c>
      <c r="B13" s="9" t="s">
        <v>91</v>
      </c>
      <c r="C13" s="9" t="s">
        <v>92</v>
      </c>
      <c r="D13" s="9" t="s">
        <v>64</v>
      </c>
      <c r="E13" s="6" t="s">
        <v>93</v>
      </c>
      <c r="F13" s="10" t="n">
        <v>2229</v>
      </c>
      <c r="G13" s="6" t="s">
        <v>94</v>
      </c>
      <c r="H13" s="9" t="s">
        <v>95</v>
      </c>
      <c r="I13" s="9" t="s">
        <v>56</v>
      </c>
      <c r="J13" s="9" t="s">
        <v>56</v>
      </c>
      <c r="K13" s="9" t="s">
        <v>56</v>
      </c>
    </row>
    <row r="14" customFormat="false" ht="15" hidden="false" customHeight="false" outlineLevel="0" collapsed="false">
      <c r="A14" s="6" t="s">
        <v>96</v>
      </c>
      <c r="B14" s="9" t="s">
        <v>97</v>
      </c>
      <c r="C14" s="9" t="s">
        <v>98</v>
      </c>
      <c r="D14" s="9" t="s">
        <v>52</v>
      </c>
      <c r="E14" s="6" t="s">
        <v>99</v>
      </c>
      <c r="F14" s="10" t="n">
        <v>1936</v>
      </c>
      <c r="G14" s="6" t="s">
        <v>54</v>
      </c>
      <c r="H14" s="9" t="s">
        <v>100</v>
      </c>
      <c r="I14" s="9" t="s">
        <v>56</v>
      </c>
      <c r="J14" s="9" t="s">
        <v>56</v>
      </c>
      <c r="K14" s="9" t="s">
        <v>56</v>
      </c>
    </row>
    <row r="15" customFormat="false" ht="15" hidden="false" customHeight="false" outlineLevel="0" collapsed="false">
      <c r="A15" s="6" t="s">
        <v>101</v>
      </c>
      <c r="B15" s="9" t="s">
        <v>102</v>
      </c>
      <c r="C15" s="9" t="s">
        <v>103</v>
      </c>
      <c r="D15" s="9" t="s">
        <v>52</v>
      </c>
      <c r="E15" s="9" t="s">
        <v>84</v>
      </c>
      <c r="F15" s="10" t="n">
        <v>1690</v>
      </c>
      <c r="G15" s="9" t="s">
        <v>104</v>
      </c>
      <c r="H15" s="9" t="s">
        <v>105</v>
      </c>
      <c r="I15" s="9" t="s">
        <v>56</v>
      </c>
      <c r="J15" s="9" t="s">
        <v>56</v>
      </c>
      <c r="K15" s="9" t="s">
        <v>56</v>
      </c>
    </row>
    <row r="16" customFormat="false" ht="15" hidden="false" customHeight="false" outlineLevel="0" collapsed="false">
      <c r="A16" s="9" t="s">
        <v>106</v>
      </c>
      <c r="B16" s="9" t="s">
        <v>107</v>
      </c>
      <c r="C16" s="9" t="s">
        <v>108</v>
      </c>
      <c r="D16" s="9" t="s">
        <v>52</v>
      </c>
      <c r="E16" s="6" t="s">
        <v>109</v>
      </c>
      <c r="F16" s="10" t="n">
        <v>1676</v>
      </c>
      <c r="G16" s="6" t="s">
        <v>54</v>
      </c>
      <c r="H16" s="9" t="s">
        <v>55</v>
      </c>
      <c r="I16" s="9" t="s">
        <v>56</v>
      </c>
      <c r="J16" s="9" t="s">
        <v>56</v>
      </c>
      <c r="K16" s="9" t="s">
        <v>56</v>
      </c>
    </row>
    <row r="17" customFormat="false" ht="15" hidden="false" customHeight="false" outlineLevel="0" collapsed="false">
      <c r="A17" s="6" t="s">
        <v>110</v>
      </c>
      <c r="B17" s="9" t="s">
        <v>111</v>
      </c>
      <c r="C17" s="9" t="s">
        <v>112</v>
      </c>
      <c r="D17" s="9" t="s">
        <v>52</v>
      </c>
      <c r="E17" s="6" t="s">
        <v>113</v>
      </c>
      <c r="F17" s="10" t="n">
        <v>1103</v>
      </c>
      <c r="G17" s="6" t="s">
        <v>54</v>
      </c>
      <c r="H17" s="9" t="s">
        <v>89</v>
      </c>
      <c r="I17" s="9" t="s">
        <v>56</v>
      </c>
      <c r="J17" s="9" t="s">
        <v>56</v>
      </c>
      <c r="K17" s="9" t="s">
        <v>56</v>
      </c>
    </row>
    <row r="18" customFormat="false" ht="15" hidden="false" customHeight="false" outlineLevel="0" collapsed="false">
      <c r="A18" s="6" t="s">
        <v>114</v>
      </c>
      <c r="B18" s="9" t="s">
        <v>115</v>
      </c>
      <c r="C18" s="9" t="s">
        <v>116</v>
      </c>
      <c r="D18" s="9" t="s">
        <v>64</v>
      </c>
      <c r="E18" s="6" t="s">
        <v>88</v>
      </c>
      <c r="F18" s="10" t="n">
        <v>1044</v>
      </c>
      <c r="G18" s="6" t="s">
        <v>54</v>
      </c>
      <c r="H18" s="9" t="s">
        <v>89</v>
      </c>
      <c r="I18" s="9" t="s">
        <v>56</v>
      </c>
      <c r="J18" s="9" t="s">
        <v>56</v>
      </c>
      <c r="K18" s="9" t="s">
        <v>56</v>
      </c>
    </row>
    <row r="19" customFormat="false" ht="15" hidden="false" customHeight="false" outlineLevel="0" collapsed="false">
      <c r="A19" s="6" t="s">
        <v>117</v>
      </c>
      <c r="B19" s="9" t="s">
        <v>118</v>
      </c>
      <c r="C19" s="9" t="s">
        <v>119</v>
      </c>
      <c r="D19" s="9" t="s">
        <v>52</v>
      </c>
      <c r="E19" s="6" t="s">
        <v>120</v>
      </c>
      <c r="F19" s="10" t="n">
        <v>967</v>
      </c>
      <c r="G19" s="6" t="s">
        <v>54</v>
      </c>
      <c r="H19" s="9" t="s">
        <v>55</v>
      </c>
      <c r="I19" s="9" t="s">
        <v>56</v>
      </c>
      <c r="J19" s="9" t="s">
        <v>56</v>
      </c>
      <c r="K19" s="9" t="s">
        <v>56</v>
      </c>
    </row>
    <row r="20" customFormat="false" ht="15" hidden="false" customHeight="false" outlineLevel="0" collapsed="false">
      <c r="A20" s="6" t="s">
        <v>121</v>
      </c>
      <c r="B20" s="9" t="s">
        <v>122</v>
      </c>
      <c r="C20" s="9" t="s">
        <v>123</v>
      </c>
      <c r="D20" s="9" t="s">
        <v>52</v>
      </c>
      <c r="E20" s="6" t="s">
        <v>120</v>
      </c>
      <c r="F20" s="10" t="n">
        <v>835</v>
      </c>
      <c r="G20" s="9" t="s">
        <v>124</v>
      </c>
      <c r="H20" s="9" t="s">
        <v>89</v>
      </c>
      <c r="I20" s="9" t="s">
        <v>56</v>
      </c>
      <c r="J20" s="9" t="s">
        <v>56</v>
      </c>
      <c r="K20" s="9" t="s">
        <v>56</v>
      </c>
    </row>
    <row r="21" customFormat="false" ht="15" hidden="false" customHeight="false" outlineLevel="0" collapsed="false">
      <c r="A21" s="6" t="s">
        <v>125</v>
      </c>
      <c r="B21" s="9" t="s">
        <v>126</v>
      </c>
      <c r="C21" s="9" t="s">
        <v>127</v>
      </c>
      <c r="D21" s="9" t="s">
        <v>52</v>
      </c>
      <c r="E21" s="6" t="s">
        <v>128</v>
      </c>
      <c r="F21" s="10" t="n">
        <v>766</v>
      </c>
      <c r="G21" s="6" t="s">
        <v>54</v>
      </c>
      <c r="H21" s="9" t="s">
        <v>100</v>
      </c>
      <c r="I21" s="9" t="s">
        <v>56</v>
      </c>
      <c r="J21" s="9" t="s">
        <v>56</v>
      </c>
      <c r="K21" s="9" t="s">
        <v>56</v>
      </c>
    </row>
    <row r="22" customFormat="false" ht="15" hidden="false" customHeight="false" outlineLevel="0" collapsed="false">
      <c r="A22" s="6" t="s">
        <v>129</v>
      </c>
      <c r="B22" s="9" t="s">
        <v>130</v>
      </c>
      <c r="C22" s="9" t="s">
        <v>131</v>
      </c>
      <c r="D22" s="9" t="s">
        <v>64</v>
      </c>
      <c r="E22" s="6" t="s">
        <v>132</v>
      </c>
      <c r="F22" s="10" t="n">
        <v>476</v>
      </c>
      <c r="G22" s="6" t="s">
        <v>54</v>
      </c>
      <c r="H22" s="9" t="s">
        <v>133</v>
      </c>
      <c r="I22" s="9" t="s">
        <v>56</v>
      </c>
      <c r="J22" s="9" t="s">
        <v>56</v>
      </c>
      <c r="K22" s="9" t="s">
        <v>56</v>
      </c>
    </row>
    <row r="23" customFormat="false" ht="15" hidden="false" customHeight="false" outlineLevel="0" collapsed="false">
      <c r="A23" s="6" t="s">
        <v>134</v>
      </c>
      <c r="B23" s="9" t="s">
        <v>135</v>
      </c>
      <c r="C23" s="9" t="s">
        <v>136</v>
      </c>
      <c r="D23" s="9" t="s">
        <v>64</v>
      </c>
      <c r="E23" s="6" t="s">
        <v>137</v>
      </c>
      <c r="F23" s="10" t="n">
        <v>462</v>
      </c>
      <c r="G23" s="6" t="s">
        <v>54</v>
      </c>
      <c r="H23" s="9" t="s">
        <v>66</v>
      </c>
      <c r="I23" s="9" t="s">
        <v>56</v>
      </c>
      <c r="J23" s="9" t="s">
        <v>56</v>
      </c>
      <c r="K23" s="9" t="s">
        <v>56</v>
      </c>
    </row>
    <row r="24" customFormat="false" ht="15" hidden="false" customHeight="false" outlineLevel="0" collapsed="false">
      <c r="A24" s="6" t="s">
        <v>138</v>
      </c>
      <c r="B24" s="9" t="s">
        <v>139</v>
      </c>
      <c r="C24" s="9" t="s">
        <v>140</v>
      </c>
      <c r="D24" s="9" t="s">
        <v>52</v>
      </c>
      <c r="E24" s="6" t="s">
        <v>120</v>
      </c>
      <c r="F24" s="10" t="n">
        <v>416</v>
      </c>
      <c r="G24" s="9" t="s">
        <v>124</v>
      </c>
      <c r="H24" s="9" t="s">
        <v>141</v>
      </c>
      <c r="I24" s="9" t="s">
        <v>56</v>
      </c>
      <c r="J24" s="9" t="s">
        <v>56</v>
      </c>
      <c r="K24" s="9" t="s">
        <v>56</v>
      </c>
    </row>
    <row r="25" customFormat="false" ht="15" hidden="false" customHeight="false" outlineLevel="0" collapsed="false">
      <c r="A25" s="6" t="s">
        <v>142</v>
      </c>
      <c r="B25" s="9" t="s">
        <v>143</v>
      </c>
      <c r="C25" s="9" t="s">
        <v>144</v>
      </c>
      <c r="D25" s="9" t="s">
        <v>52</v>
      </c>
      <c r="E25" s="6" t="s">
        <v>145</v>
      </c>
      <c r="F25" s="10" t="n">
        <v>343</v>
      </c>
      <c r="G25" s="6" t="s">
        <v>54</v>
      </c>
      <c r="H25" s="9" t="s">
        <v>100</v>
      </c>
      <c r="I25" s="9" t="s">
        <v>56</v>
      </c>
      <c r="J25" s="9" t="s">
        <v>56</v>
      </c>
      <c r="K25" s="9" t="s">
        <v>56</v>
      </c>
    </row>
    <row r="26" customFormat="false" ht="15" hidden="false" customHeight="false" outlineLevel="0" collapsed="false">
      <c r="A26" s="6" t="s">
        <v>146</v>
      </c>
      <c r="B26" s="9" t="s">
        <v>147</v>
      </c>
      <c r="C26" s="9" t="s">
        <v>148</v>
      </c>
      <c r="D26" s="9" t="s">
        <v>64</v>
      </c>
      <c r="E26" s="6" t="s">
        <v>149</v>
      </c>
      <c r="F26" s="10" t="n">
        <v>251</v>
      </c>
      <c r="G26" s="6" t="s">
        <v>54</v>
      </c>
      <c r="H26" s="9" t="s">
        <v>55</v>
      </c>
      <c r="I26" s="9" t="s">
        <v>56</v>
      </c>
      <c r="J26" s="9" t="s">
        <v>56</v>
      </c>
      <c r="K26" s="9" t="s">
        <v>56</v>
      </c>
    </row>
    <row r="27" customFormat="false" ht="15" hidden="false" customHeight="false" outlineLevel="0" collapsed="false">
      <c r="A27" s="6" t="s">
        <v>150</v>
      </c>
      <c r="B27" s="9" t="s">
        <v>151</v>
      </c>
      <c r="C27" s="9" t="s">
        <v>152</v>
      </c>
      <c r="D27" s="9" t="s">
        <v>64</v>
      </c>
      <c r="E27" s="6" t="s">
        <v>137</v>
      </c>
      <c r="F27" s="10" t="n">
        <v>251</v>
      </c>
      <c r="G27" s="6" t="s">
        <v>54</v>
      </c>
      <c r="H27" s="9" t="s">
        <v>66</v>
      </c>
      <c r="I27" s="9" t="s">
        <v>56</v>
      </c>
      <c r="J27" s="9" t="s">
        <v>56</v>
      </c>
      <c r="K27" s="9" t="s">
        <v>56</v>
      </c>
    </row>
    <row r="28" customFormat="false" ht="15" hidden="false" customHeight="false" outlineLevel="0" collapsed="false">
      <c r="A28" s="6" t="s">
        <v>153</v>
      </c>
      <c r="B28" s="9" t="s">
        <v>154</v>
      </c>
      <c r="C28" s="9" t="s">
        <v>155</v>
      </c>
      <c r="D28" s="9" t="s">
        <v>52</v>
      </c>
      <c r="E28" s="6" t="s">
        <v>149</v>
      </c>
      <c r="F28" s="10" t="n">
        <v>229</v>
      </c>
      <c r="G28" s="6" t="s">
        <v>54</v>
      </c>
      <c r="H28" s="9" t="s">
        <v>133</v>
      </c>
      <c r="I28" s="9" t="s">
        <v>56</v>
      </c>
      <c r="J28" s="9" t="s">
        <v>56</v>
      </c>
      <c r="K28" s="9" t="s">
        <v>56</v>
      </c>
    </row>
    <row r="29" customFormat="false" ht="15" hidden="false" customHeight="false" outlineLevel="0" collapsed="false">
      <c r="A29" s="9" t="s">
        <v>156</v>
      </c>
      <c r="B29" s="9" t="s">
        <v>157</v>
      </c>
      <c r="C29" s="9" t="s">
        <v>158</v>
      </c>
      <c r="D29" s="9" t="s">
        <v>64</v>
      </c>
      <c r="E29" s="6" t="s">
        <v>109</v>
      </c>
      <c r="F29" s="10" t="n">
        <v>218</v>
      </c>
      <c r="G29" s="6" t="s">
        <v>54</v>
      </c>
      <c r="H29" s="9" t="s">
        <v>159</v>
      </c>
      <c r="I29" s="9" t="s">
        <v>56</v>
      </c>
      <c r="J29" s="9" t="s">
        <v>56</v>
      </c>
      <c r="K29" s="9" t="s">
        <v>56</v>
      </c>
    </row>
    <row r="30" customFormat="false" ht="15" hidden="false" customHeight="false" outlineLevel="0" collapsed="false">
      <c r="A30" s="6" t="s">
        <v>160</v>
      </c>
      <c r="B30" s="9" t="s">
        <v>161</v>
      </c>
      <c r="C30" s="9" t="s">
        <v>162</v>
      </c>
      <c r="D30" s="9" t="s">
        <v>64</v>
      </c>
      <c r="E30" s="6" t="s">
        <v>163</v>
      </c>
      <c r="F30" s="10" t="n">
        <v>204</v>
      </c>
      <c r="G30" s="6" t="s">
        <v>54</v>
      </c>
      <c r="H30" s="9" t="s">
        <v>89</v>
      </c>
      <c r="I30" s="9" t="s">
        <v>56</v>
      </c>
      <c r="J30" s="9" t="s">
        <v>56</v>
      </c>
      <c r="K30" s="9" t="s">
        <v>56</v>
      </c>
    </row>
    <row r="31" customFormat="false" ht="15" hidden="false" customHeight="false" outlineLevel="0" collapsed="false">
      <c r="A31" s="6" t="s">
        <v>164</v>
      </c>
      <c r="B31" s="9" t="s">
        <v>165</v>
      </c>
      <c r="C31" s="9" t="s">
        <v>166</v>
      </c>
      <c r="D31" s="9" t="s">
        <v>64</v>
      </c>
      <c r="E31" s="6" t="s">
        <v>167</v>
      </c>
      <c r="F31" s="10" t="n">
        <v>163</v>
      </c>
      <c r="G31" s="9" t="s">
        <v>124</v>
      </c>
      <c r="H31" s="9" t="s">
        <v>168</v>
      </c>
      <c r="I31" s="9" t="s">
        <v>56</v>
      </c>
      <c r="J31" s="9" t="s">
        <v>56</v>
      </c>
      <c r="K31" s="9" t="s">
        <v>56</v>
      </c>
    </row>
    <row r="32" customFormat="false" ht="15" hidden="false" customHeight="false" outlineLevel="0" collapsed="false">
      <c r="A32" s="6" t="s">
        <v>169</v>
      </c>
      <c r="B32" s="9" t="s">
        <v>170</v>
      </c>
      <c r="C32" s="9" t="s">
        <v>171</v>
      </c>
      <c r="D32" s="9" t="s">
        <v>52</v>
      </c>
      <c r="E32" s="6" t="s">
        <v>172</v>
      </c>
      <c r="F32" s="10" t="n">
        <v>13475672</v>
      </c>
      <c r="G32" s="6" t="s">
        <v>54</v>
      </c>
      <c r="H32" s="9" t="s">
        <v>173</v>
      </c>
      <c r="I32" s="9" t="s">
        <v>56</v>
      </c>
      <c r="J32" s="9" t="s">
        <v>56</v>
      </c>
      <c r="K32" s="6"/>
    </row>
    <row r="33" customFormat="false" ht="15" hidden="false" customHeight="false" outlineLevel="0" collapsed="false">
      <c r="A33" s="9" t="s">
        <v>174</v>
      </c>
      <c r="B33" s="9" t="s">
        <v>175</v>
      </c>
      <c r="C33" s="9" t="s">
        <v>176</v>
      </c>
      <c r="D33" s="9" t="s">
        <v>52</v>
      </c>
      <c r="E33" s="6" t="s">
        <v>75</v>
      </c>
      <c r="F33" s="10" t="n">
        <v>10920861</v>
      </c>
      <c r="G33" s="6" t="s">
        <v>54</v>
      </c>
      <c r="H33" s="9" t="s">
        <v>177</v>
      </c>
      <c r="I33" s="9" t="s">
        <v>56</v>
      </c>
      <c r="J33" s="9" t="s">
        <v>56</v>
      </c>
      <c r="K33" s="6"/>
    </row>
    <row r="34" customFormat="false" ht="15" hidden="false" customHeight="false" outlineLevel="0" collapsed="false">
      <c r="A34" s="6" t="s">
        <v>178</v>
      </c>
      <c r="B34" s="9" t="s">
        <v>179</v>
      </c>
      <c r="C34" s="9" t="s">
        <v>180</v>
      </c>
      <c r="D34" s="9" t="s">
        <v>52</v>
      </c>
      <c r="E34" s="6" t="s">
        <v>181</v>
      </c>
      <c r="F34" s="10" t="n">
        <v>819031</v>
      </c>
      <c r="G34" s="6" t="s">
        <v>54</v>
      </c>
      <c r="H34" s="9" t="s">
        <v>55</v>
      </c>
      <c r="I34" s="9" t="s">
        <v>56</v>
      </c>
      <c r="J34" s="9" t="s">
        <v>56</v>
      </c>
      <c r="K34" s="6"/>
    </row>
    <row r="35" customFormat="false" ht="15" hidden="false" customHeight="false" outlineLevel="0" collapsed="false">
      <c r="A35" s="6" t="s">
        <v>182</v>
      </c>
      <c r="B35" s="9" t="s">
        <v>183</v>
      </c>
      <c r="C35" s="9" t="s">
        <v>184</v>
      </c>
      <c r="D35" s="9" t="s">
        <v>52</v>
      </c>
      <c r="E35" s="6" t="s">
        <v>181</v>
      </c>
      <c r="F35" s="10" t="n">
        <v>521592</v>
      </c>
      <c r="G35" s="6" t="s">
        <v>54</v>
      </c>
      <c r="H35" s="9" t="s">
        <v>100</v>
      </c>
      <c r="I35" s="9" t="s">
        <v>56</v>
      </c>
      <c r="J35" s="9" t="s">
        <v>56</v>
      </c>
      <c r="K35" s="6"/>
    </row>
    <row r="36" customFormat="false" ht="15" hidden="false" customHeight="false" outlineLevel="0" collapsed="false">
      <c r="A36" s="6" t="s">
        <v>185</v>
      </c>
      <c r="B36" s="9" t="s">
        <v>186</v>
      </c>
      <c r="C36" s="9" t="s">
        <v>187</v>
      </c>
      <c r="D36" s="9" t="s">
        <v>52</v>
      </c>
      <c r="E36" s="6" t="s">
        <v>188</v>
      </c>
      <c r="F36" s="10" t="n">
        <v>489389</v>
      </c>
      <c r="G36" s="6" t="s">
        <v>54</v>
      </c>
      <c r="H36" s="9" t="s">
        <v>133</v>
      </c>
      <c r="I36" s="9" t="s">
        <v>56</v>
      </c>
      <c r="J36" s="9" t="s">
        <v>56</v>
      </c>
      <c r="K36" s="6"/>
    </row>
    <row r="37" customFormat="false" ht="15" hidden="false" customHeight="false" outlineLevel="0" collapsed="false">
      <c r="A37" s="6" t="s">
        <v>189</v>
      </c>
      <c r="B37" s="9" t="s">
        <v>190</v>
      </c>
      <c r="C37" s="9" t="s">
        <v>191</v>
      </c>
      <c r="D37" s="9" t="s">
        <v>52</v>
      </c>
      <c r="E37" s="6" t="s">
        <v>120</v>
      </c>
      <c r="F37" s="10" t="n">
        <v>460922</v>
      </c>
      <c r="G37" s="6" t="s">
        <v>54</v>
      </c>
      <c r="H37" s="9" t="s">
        <v>192</v>
      </c>
      <c r="I37" s="9" t="s">
        <v>56</v>
      </c>
      <c r="J37" s="9" t="s">
        <v>56</v>
      </c>
      <c r="K37" s="6"/>
    </row>
    <row r="38" customFormat="false" ht="15" hidden="false" customHeight="false" outlineLevel="0" collapsed="false">
      <c r="A38" s="6" t="s">
        <v>193</v>
      </c>
      <c r="B38" s="9" t="s">
        <v>194</v>
      </c>
      <c r="C38" s="9" t="s">
        <v>195</v>
      </c>
      <c r="D38" s="9" t="s">
        <v>52</v>
      </c>
      <c r="E38" s="6" t="s">
        <v>137</v>
      </c>
      <c r="F38" s="10" t="n">
        <v>453480</v>
      </c>
      <c r="G38" s="6" t="s">
        <v>54</v>
      </c>
      <c r="H38" s="9" t="s">
        <v>76</v>
      </c>
      <c r="I38" s="9" t="s">
        <v>56</v>
      </c>
      <c r="J38" s="9" t="s">
        <v>56</v>
      </c>
      <c r="K38" s="6"/>
    </row>
    <row r="39" customFormat="false" ht="15" hidden="false" customHeight="false" outlineLevel="0" collapsed="false">
      <c r="A39" s="9" t="s">
        <v>196</v>
      </c>
      <c r="B39" s="9" t="s">
        <v>197</v>
      </c>
      <c r="C39" s="9" t="s">
        <v>198</v>
      </c>
      <c r="D39" s="9" t="s">
        <v>52</v>
      </c>
      <c r="E39" s="6" t="s">
        <v>199</v>
      </c>
      <c r="F39" s="10" t="n">
        <v>369039</v>
      </c>
      <c r="G39" s="6" t="s">
        <v>54</v>
      </c>
      <c r="H39" s="9" t="s">
        <v>55</v>
      </c>
      <c r="I39" s="9" t="s">
        <v>56</v>
      </c>
      <c r="J39" s="9" t="s">
        <v>56</v>
      </c>
      <c r="K39" s="6"/>
    </row>
    <row r="40" customFormat="false" ht="15" hidden="false" customHeight="false" outlineLevel="0" collapsed="false">
      <c r="A40" s="6" t="s">
        <v>200</v>
      </c>
      <c r="B40" s="9" t="s">
        <v>201</v>
      </c>
      <c r="C40" s="9" t="s">
        <v>202</v>
      </c>
      <c r="D40" s="9" t="s">
        <v>52</v>
      </c>
      <c r="E40" s="6" t="s">
        <v>203</v>
      </c>
      <c r="F40" s="10" t="n">
        <v>303750</v>
      </c>
      <c r="G40" s="6" t="s">
        <v>54</v>
      </c>
      <c r="H40" s="9" t="s">
        <v>55</v>
      </c>
      <c r="I40" s="9" t="s">
        <v>56</v>
      </c>
      <c r="J40" s="9" t="s">
        <v>56</v>
      </c>
      <c r="K40" s="6"/>
    </row>
    <row r="41" customFormat="false" ht="15" hidden="false" customHeight="false" outlineLevel="0" collapsed="false">
      <c r="A41" s="6" t="s">
        <v>204</v>
      </c>
      <c r="B41" s="9" t="s">
        <v>205</v>
      </c>
      <c r="C41" s="9" t="s">
        <v>206</v>
      </c>
      <c r="D41" s="9" t="s">
        <v>52</v>
      </c>
      <c r="E41" s="6" t="s">
        <v>207</v>
      </c>
      <c r="F41" s="10" t="n">
        <v>277917</v>
      </c>
      <c r="G41" s="9" t="s">
        <v>124</v>
      </c>
      <c r="H41" s="9" t="s">
        <v>177</v>
      </c>
      <c r="I41" s="9" t="s">
        <v>56</v>
      </c>
      <c r="J41" s="9" t="s">
        <v>56</v>
      </c>
      <c r="K41" s="6"/>
    </row>
    <row r="42" customFormat="false" ht="15" hidden="false" customHeight="false" outlineLevel="0" collapsed="false">
      <c r="A42" s="6" t="s">
        <v>208</v>
      </c>
      <c r="B42" s="9" t="s">
        <v>209</v>
      </c>
      <c r="C42" s="9" t="s">
        <v>210</v>
      </c>
      <c r="D42" s="9" t="s">
        <v>52</v>
      </c>
      <c r="E42" s="9" t="s">
        <v>211</v>
      </c>
      <c r="F42" s="10" t="n">
        <v>257572</v>
      </c>
      <c r="G42" s="9" t="s">
        <v>124</v>
      </c>
      <c r="H42" s="9" t="s">
        <v>212</v>
      </c>
      <c r="I42" s="9" t="s">
        <v>56</v>
      </c>
      <c r="J42" s="9" t="s">
        <v>56</v>
      </c>
      <c r="K42" s="6"/>
    </row>
    <row r="43" customFormat="false" ht="15" hidden="false" customHeight="false" outlineLevel="0" collapsed="false">
      <c r="A43" s="9" t="s">
        <v>213</v>
      </c>
      <c r="B43" s="9" t="s">
        <v>214</v>
      </c>
      <c r="C43" s="9" t="s">
        <v>215</v>
      </c>
      <c r="D43" s="9" t="s">
        <v>52</v>
      </c>
      <c r="E43" s="6" t="s">
        <v>216</v>
      </c>
      <c r="F43" s="10" t="n">
        <v>201853</v>
      </c>
      <c r="G43" s="6" t="s">
        <v>54</v>
      </c>
      <c r="H43" s="9" t="s">
        <v>55</v>
      </c>
      <c r="I43" s="9" t="s">
        <v>56</v>
      </c>
      <c r="J43" s="9" t="s">
        <v>56</v>
      </c>
      <c r="K43" s="6"/>
    </row>
    <row r="44" customFormat="false" ht="15" hidden="false" customHeight="false" outlineLevel="0" collapsed="false">
      <c r="A44" s="6" t="s">
        <v>217</v>
      </c>
      <c r="B44" s="9" t="s">
        <v>218</v>
      </c>
      <c r="C44" s="9" t="s">
        <v>219</v>
      </c>
      <c r="D44" s="9" t="s">
        <v>52</v>
      </c>
      <c r="E44" s="6" t="s">
        <v>220</v>
      </c>
      <c r="F44" s="10" t="n">
        <v>193330</v>
      </c>
      <c r="G44" s="9" t="s">
        <v>124</v>
      </c>
      <c r="H44" s="9" t="s">
        <v>221</v>
      </c>
      <c r="I44" s="9" t="s">
        <v>56</v>
      </c>
      <c r="J44" s="9" t="s">
        <v>56</v>
      </c>
      <c r="K44" s="6"/>
    </row>
    <row r="45" customFormat="false" ht="15" hidden="false" customHeight="false" outlineLevel="0" collapsed="false">
      <c r="A45" s="6" t="s">
        <v>222</v>
      </c>
      <c r="B45" s="9" t="s">
        <v>223</v>
      </c>
      <c r="C45" s="9" t="s">
        <v>224</v>
      </c>
      <c r="D45" s="9" t="s">
        <v>52</v>
      </c>
      <c r="E45" s="6" t="s">
        <v>145</v>
      </c>
      <c r="F45" s="10" t="n">
        <v>192383</v>
      </c>
      <c r="G45" s="6" t="s">
        <v>54</v>
      </c>
      <c r="H45" s="9" t="s">
        <v>89</v>
      </c>
      <c r="I45" s="9" t="s">
        <v>56</v>
      </c>
      <c r="J45" s="9" t="s">
        <v>56</v>
      </c>
      <c r="K45" s="6"/>
    </row>
    <row r="46" customFormat="false" ht="15" hidden="false" customHeight="false" outlineLevel="0" collapsed="false">
      <c r="A46" s="6" t="s">
        <v>225</v>
      </c>
      <c r="B46" s="9" t="s">
        <v>226</v>
      </c>
      <c r="C46" s="9" t="s">
        <v>227</v>
      </c>
      <c r="D46" s="9" t="s">
        <v>52</v>
      </c>
      <c r="E46" s="6" t="s">
        <v>65</v>
      </c>
      <c r="F46" s="10" t="n">
        <v>114358</v>
      </c>
      <c r="G46" s="6" t="s">
        <v>54</v>
      </c>
      <c r="H46" s="9" t="s">
        <v>55</v>
      </c>
      <c r="I46" s="9" t="s">
        <v>56</v>
      </c>
      <c r="J46" s="9" t="s">
        <v>56</v>
      </c>
      <c r="K46" s="6"/>
    </row>
    <row r="47" customFormat="false" ht="15" hidden="false" customHeight="false" outlineLevel="0" collapsed="false">
      <c r="A47" s="6" t="s">
        <v>228</v>
      </c>
      <c r="B47" s="9" t="s">
        <v>229</v>
      </c>
      <c r="C47" s="9" t="s">
        <v>230</v>
      </c>
      <c r="D47" s="9" t="s">
        <v>64</v>
      </c>
      <c r="E47" s="6" t="s">
        <v>199</v>
      </c>
      <c r="F47" s="10" t="n">
        <v>113509</v>
      </c>
      <c r="G47" s="6" t="s">
        <v>54</v>
      </c>
      <c r="H47" s="9" t="s">
        <v>55</v>
      </c>
      <c r="I47" s="9" t="s">
        <v>56</v>
      </c>
      <c r="J47" s="9" t="s">
        <v>56</v>
      </c>
      <c r="K47" s="6"/>
    </row>
    <row r="48" customFormat="false" ht="15" hidden="false" customHeight="false" outlineLevel="0" collapsed="false">
      <c r="A48" s="6" t="s">
        <v>231</v>
      </c>
      <c r="B48" s="9" t="s">
        <v>232</v>
      </c>
      <c r="C48" s="9" t="s">
        <v>233</v>
      </c>
      <c r="D48" s="9" t="s">
        <v>52</v>
      </c>
      <c r="E48" s="6" t="s">
        <v>65</v>
      </c>
      <c r="F48" s="10" t="n">
        <v>106117</v>
      </c>
      <c r="G48" s="9" t="s">
        <v>124</v>
      </c>
      <c r="H48" s="9" t="s">
        <v>221</v>
      </c>
      <c r="I48" s="9" t="s">
        <v>56</v>
      </c>
      <c r="J48" s="9" t="s">
        <v>56</v>
      </c>
      <c r="K48" s="6"/>
    </row>
    <row r="49" customFormat="false" ht="15" hidden="false" customHeight="false" outlineLevel="0" collapsed="false">
      <c r="A49" s="9" t="s">
        <v>234</v>
      </c>
      <c r="B49" s="9" t="s">
        <v>235</v>
      </c>
      <c r="C49" s="9" t="s">
        <v>236</v>
      </c>
      <c r="D49" s="9" t="s">
        <v>52</v>
      </c>
      <c r="E49" s="6" t="s">
        <v>237</v>
      </c>
      <c r="F49" s="10" t="n">
        <v>104670</v>
      </c>
      <c r="G49" s="9" t="s">
        <v>124</v>
      </c>
      <c r="H49" s="9" t="s">
        <v>238</v>
      </c>
      <c r="I49" s="9" t="s">
        <v>56</v>
      </c>
      <c r="J49" s="9" t="s">
        <v>56</v>
      </c>
      <c r="K49" s="6"/>
    </row>
    <row r="50" customFormat="false" ht="15" hidden="false" customHeight="false" outlineLevel="0" collapsed="false">
      <c r="A50" s="6" t="s">
        <v>239</v>
      </c>
      <c r="B50" s="9" t="s">
        <v>240</v>
      </c>
      <c r="C50" s="9" t="s">
        <v>241</v>
      </c>
      <c r="D50" s="9" t="s">
        <v>64</v>
      </c>
      <c r="E50" s="6" t="s">
        <v>242</v>
      </c>
      <c r="F50" s="10" t="n">
        <v>100276</v>
      </c>
      <c r="G50" s="6" t="s">
        <v>54</v>
      </c>
      <c r="H50" s="9" t="s">
        <v>55</v>
      </c>
      <c r="I50" s="9" t="s">
        <v>56</v>
      </c>
      <c r="J50" s="9" t="s">
        <v>56</v>
      </c>
      <c r="K50" s="6"/>
    </row>
    <row r="51" customFormat="false" ht="15" hidden="false" customHeight="false" outlineLevel="0" collapsed="false">
      <c r="A51" s="6" t="s">
        <v>243</v>
      </c>
      <c r="B51" s="9" t="s">
        <v>244</v>
      </c>
      <c r="C51" s="9" t="s">
        <v>245</v>
      </c>
      <c r="D51" s="9" t="s">
        <v>52</v>
      </c>
      <c r="E51" s="6" t="s">
        <v>246</v>
      </c>
      <c r="F51" s="10" t="n">
        <v>94142</v>
      </c>
      <c r="G51" s="6" t="s">
        <v>54</v>
      </c>
      <c r="H51" s="9" t="s">
        <v>55</v>
      </c>
      <c r="I51" s="9" t="s">
        <v>56</v>
      </c>
      <c r="J51" s="9" t="s">
        <v>56</v>
      </c>
      <c r="K51" s="6"/>
    </row>
    <row r="52" customFormat="false" ht="15" hidden="false" customHeight="false" outlineLevel="0" collapsed="false">
      <c r="A52" s="6" t="s">
        <v>247</v>
      </c>
      <c r="B52" s="9" t="s">
        <v>248</v>
      </c>
      <c r="C52" s="9" t="s">
        <v>249</v>
      </c>
      <c r="D52" s="9" t="s">
        <v>52</v>
      </c>
      <c r="E52" s="6" t="s">
        <v>109</v>
      </c>
      <c r="F52" s="10" t="n">
        <v>81298</v>
      </c>
      <c r="G52" s="6" t="s">
        <v>54</v>
      </c>
      <c r="H52" s="9" t="s">
        <v>55</v>
      </c>
      <c r="I52" s="9" t="s">
        <v>56</v>
      </c>
      <c r="J52" s="9" t="s">
        <v>56</v>
      </c>
      <c r="K52" s="6"/>
    </row>
    <row r="53" customFormat="false" ht="15" hidden="false" customHeight="false" outlineLevel="0" collapsed="false">
      <c r="A53" s="6" t="s">
        <v>250</v>
      </c>
      <c r="B53" s="9" t="s">
        <v>251</v>
      </c>
      <c r="C53" s="9" t="s">
        <v>252</v>
      </c>
      <c r="D53" s="9" t="s">
        <v>52</v>
      </c>
      <c r="E53" s="6" t="s">
        <v>253</v>
      </c>
      <c r="F53" s="10" t="n">
        <v>79660</v>
      </c>
      <c r="G53" s="6" t="s">
        <v>54</v>
      </c>
      <c r="H53" s="9" t="s">
        <v>133</v>
      </c>
      <c r="I53" s="9" t="s">
        <v>56</v>
      </c>
      <c r="J53" s="9" t="s">
        <v>56</v>
      </c>
      <c r="K53" s="6"/>
    </row>
    <row r="54" customFormat="false" ht="15" hidden="false" customHeight="false" outlineLevel="0" collapsed="false">
      <c r="A54" s="6" t="s">
        <v>254</v>
      </c>
      <c r="B54" s="9" t="s">
        <v>255</v>
      </c>
      <c r="C54" s="9" t="s">
        <v>256</v>
      </c>
      <c r="D54" s="9" t="s">
        <v>52</v>
      </c>
      <c r="E54" s="6" t="s">
        <v>220</v>
      </c>
      <c r="F54" s="10" t="n">
        <v>77894</v>
      </c>
      <c r="G54" s="6" t="s">
        <v>54</v>
      </c>
      <c r="H54" s="9" t="s">
        <v>177</v>
      </c>
      <c r="I54" s="9" t="s">
        <v>56</v>
      </c>
      <c r="J54" s="9" t="s">
        <v>56</v>
      </c>
      <c r="K54" s="6"/>
    </row>
    <row r="55" customFormat="false" ht="15" hidden="false" customHeight="false" outlineLevel="0" collapsed="false">
      <c r="A55" s="6" t="s">
        <v>257</v>
      </c>
      <c r="B55" s="9" t="s">
        <v>258</v>
      </c>
      <c r="C55" s="9" t="s">
        <v>259</v>
      </c>
      <c r="D55" s="9" t="s">
        <v>52</v>
      </c>
      <c r="E55" s="6" t="s">
        <v>88</v>
      </c>
      <c r="F55" s="10" t="n">
        <v>61966</v>
      </c>
      <c r="G55" s="6" t="s">
        <v>54</v>
      </c>
      <c r="H55" s="9" t="s">
        <v>66</v>
      </c>
      <c r="I55" s="9" t="s">
        <v>56</v>
      </c>
      <c r="J55" s="9" t="s">
        <v>56</v>
      </c>
      <c r="K55" s="6"/>
    </row>
    <row r="56" customFormat="false" ht="15" hidden="false" customHeight="false" outlineLevel="0" collapsed="false">
      <c r="A56" s="6" t="s">
        <v>260</v>
      </c>
      <c r="B56" s="9" t="s">
        <v>261</v>
      </c>
      <c r="C56" s="9" t="s">
        <v>262</v>
      </c>
      <c r="D56" s="9" t="s">
        <v>52</v>
      </c>
      <c r="E56" s="6" t="s">
        <v>109</v>
      </c>
      <c r="F56" s="10" t="n">
        <v>61003</v>
      </c>
      <c r="G56" s="9" t="s">
        <v>124</v>
      </c>
      <c r="H56" s="9" t="s">
        <v>238</v>
      </c>
      <c r="I56" s="9" t="s">
        <v>56</v>
      </c>
      <c r="J56" s="9" t="s">
        <v>56</v>
      </c>
      <c r="K56" s="6"/>
    </row>
    <row r="57" customFormat="false" ht="15" hidden="false" customHeight="false" outlineLevel="0" collapsed="false">
      <c r="A57" s="6" t="s">
        <v>263</v>
      </c>
      <c r="B57" s="9" t="s">
        <v>264</v>
      </c>
      <c r="C57" s="9" t="s">
        <v>265</v>
      </c>
      <c r="D57" s="9" t="s">
        <v>52</v>
      </c>
      <c r="E57" s="6" t="s">
        <v>60</v>
      </c>
      <c r="F57" s="10" t="n">
        <v>52255</v>
      </c>
      <c r="G57" s="9" t="s">
        <v>124</v>
      </c>
      <c r="H57" s="9" t="s">
        <v>141</v>
      </c>
      <c r="I57" s="9" t="s">
        <v>56</v>
      </c>
      <c r="J57" s="9" t="s">
        <v>56</v>
      </c>
      <c r="K57" s="6"/>
    </row>
    <row r="58" customFormat="false" ht="15" hidden="false" customHeight="false" outlineLevel="0" collapsed="false">
      <c r="A58" s="6" t="s">
        <v>266</v>
      </c>
      <c r="B58" s="9" t="s">
        <v>267</v>
      </c>
      <c r="C58" s="9" t="s">
        <v>268</v>
      </c>
      <c r="D58" s="9" t="s">
        <v>52</v>
      </c>
      <c r="E58" s="6" t="s">
        <v>99</v>
      </c>
      <c r="F58" s="10" t="n">
        <v>50091</v>
      </c>
      <c r="G58" s="6" t="s">
        <v>54</v>
      </c>
      <c r="H58" s="9" t="s">
        <v>133</v>
      </c>
      <c r="I58" s="9" t="s">
        <v>56</v>
      </c>
      <c r="J58" s="9" t="s">
        <v>56</v>
      </c>
      <c r="K58" s="6"/>
    </row>
    <row r="59" customFormat="false" ht="15" hidden="false" customHeight="false" outlineLevel="0" collapsed="false">
      <c r="A59" s="6" t="s">
        <v>269</v>
      </c>
      <c r="B59" s="9" t="s">
        <v>270</v>
      </c>
      <c r="C59" s="9" t="s">
        <v>271</v>
      </c>
      <c r="D59" s="9" t="s">
        <v>64</v>
      </c>
      <c r="E59" s="6" t="s">
        <v>272</v>
      </c>
      <c r="F59" s="10" t="n">
        <v>41055</v>
      </c>
      <c r="G59" s="6" t="s">
        <v>54</v>
      </c>
      <c r="H59" s="9" t="s">
        <v>89</v>
      </c>
      <c r="I59" s="9" t="s">
        <v>56</v>
      </c>
      <c r="J59" s="9" t="s">
        <v>56</v>
      </c>
      <c r="K59" s="6"/>
    </row>
    <row r="60" customFormat="false" ht="15" hidden="false" customHeight="false" outlineLevel="0" collapsed="false">
      <c r="A60" s="9" t="s">
        <v>273</v>
      </c>
      <c r="B60" s="9" t="s">
        <v>274</v>
      </c>
      <c r="C60" s="9" t="s">
        <v>275</v>
      </c>
      <c r="D60" s="9" t="s">
        <v>52</v>
      </c>
      <c r="E60" s="6" t="s">
        <v>109</v>
      </c>
      <c r="F60" s="10" t="n">
        <v>39913</v>
      </c>
      <c r="G60" s="9" t="s">
        <v>124</v>
      </c>
      <c r="H60" s="9" t="s">
        <v>276</v>
      </c>
      <c r="I60" s="9" t="s">
        <v>56</v>
      </c>
      <c r="J60" s="9" t="s">
        <v>56</v>
      </c>
      <c r="K60" s="6"/>
    </row>
    <row r="61" customFormat="false" ht="15" hidden="false" customHeight="false" outlineLevel="0" collapsed="false">
      <c r="A61" s="6" t="s">
        <v>277</v>
      </c>
      <c r="B61" s="9" t="s">
        <v>278</v>
      </c>
      <c r="C61" s="9" t="s">
        <v>279</v>
      </c>
      <c r="D61" s="9" t="s">
        <v>64</v>
      </c>
      <c r="E61" s="6" t="s">
        <v>145</v>
      </c>
      <c r="F61" s="10" t="n">
        <v>39712</v>
      </c>
      <c r="G61" s="6" t="s">
        <v>54</v>
      </c>
      <c r="H61" s="9" t="s">
        <v>177</v>
      </c>
      <c r="I61" s="9" t="s">
        <v>56</v>
      </c>
      <c r="J61" s="9" t="s">
        <v>56</v>
      </c>
      <c r="K61" s="6"/>
    </row>
    <row r="62" customFormat="false" ht="15" hidden="false" customHeight="false" outlineLevel="0" collapsed="false">
      <c r="A62" s="9" t="s">
        <v>280</v>
      </c>
      <c r="B62" s="9" t="s">
        <v>281</v>
      </c>
      <c r="C62" s="9" t="s">
        <v>282</v>
      </c>
      <c r="D62" s="9" t="s">
        <v>52</v>
      </c>
      <c r="E62" s="6" t="s">
        <v>75</v>
      </c>
      <c r="F62" s="10" t="n">
        <v>39029</v>
      </c>
      <c r="G62" s="9" t="s">
        <v>124</v>
      </c>
      <c r="H62" s="9" t="s">
        <v>212</v>
      </c>
      <c r="I62" s="9" t="s">
        <v>56</v>
      </c>
      <c r="J62" s="9" t="s">
        <v>56</v>
      </c>
      <c r="K62" s="6"/>
    </row>
    <row r="63" customFormat="false" ht="15" hidden="false" customHeight="false" outlineLevel="0" collapsed="false">
      <c r="A63" s="6" t="s">
        <v>283</v>
      </c>
      <c r="B63" s="9" t="s">
        <v>284</v>
      </c>
      <c r="C63" s="9" t="s">
        <v>285</v>
      </c>
      <c r="D63" s="9" t="s">
        <v>64</v>
      </c>
      <c r="E63" s="6" t="s">
        <v>99</v>
      </c>
      <c r="F63" s="10" t="n">
        <v>38728</v>
      </c>
      <c r="G63" s="9" t="s">
        <v>124</v>
      </c>
      <c r="H63" s="9" t="s">
        <v>286</v>
      </c>
      <c r="I63" s="9" t="s">
        <v>56</v>
      </c>
      <c r="J63" s="9" t="s">
        <v>56</v>
      </c>
      <c r="K63" s="6"/>
    </row>
    <row r="64" customFormat="false" ht="15" hidden="false" customHeight="false" outlineLevel="0" collapsed="false">
      <c r="A64" s="6" t="s">
        <v>287</v>
      </c>
      <c r="B64" s="9" t="s">
        <v>288</v>
      </c>
      <c r="C64" s="9" t="s">
        <v>289</v>
      </c>
      <c r="D64" s="9" t="s">
        <v>52</v>
      </c>
      <c r="E64" s="6" t="s">
        <v>188</v>
      </c>
      <c r="F64" s="10" t="n">
        <v>38011</v>
      </c>
      <c r="G64" s="6" t="s">
        <v>54</v>
      </c>
      <c r="H64" s="9" t="s">
        <v>55</v>
      </c>
      <c r="I64" s="9" t="s">
        <v>56</v>
      </c>
      <c r="J64" s="9" t="s">
        <v>56</v>
      </c>
      <c r="K64" s="6"/>
    </row>
    <row r="65" customFormat="false" ht="15" hidden="false" customHeight="false" outlineLevel="0" collapsed="false">
      <c r="A65" s="6" t="s">
        <v>290</v>
      </c>
      <c r="B65" s="9" t="s">
        <v>291</v>
      </c>
      <c r="C65" s="9" t="s">
        <v>292</v>
      </c>
      <c r="D65" s="9" t="s">
        <v>52</v>
      </c>
      <c r="E65" s="6" t="s">
        <v>188</v>
      </c>
      <c r="F65" s="10" t="n">
        <v>37048</v>
      </c>
      <c r="G65" s="6" t="s">
        <v>54</v>
      </c>
      <c r="H65" s="9" t="s">
        <v>55</v>
      </c>
      <c r="I65" s="9" t="s">
        <v>56</v>
      </c>
      <c r="J65" s="9" t="s">
        <v>56</v>
      </c>
      <c r="K65" s="6"/>
    </row>
    <row r="66" customFormat="false" ht="15" hidden="false" customHeight="false" outlineLevel="0" collapsed="false">
      <c r="A66" s="6" t="s">
        <v>293</v>
      </c>
      <c r="B66" s="9" t="s">
        <v>294</v>
      </c>
      <c r="C66" s="9" t="s">
        <v>295</v>
      </c>
      <c r="D66" s="9" t="s">
        <v>64</v>
      </c>
      <c r="E66" s="6" t="s">
        <v>137</v>
      </c>
      <c r="F66" s="10" t="n">
        <v>34917</v>
      </c>
      <c r="G66" s="6" t="s">
        <v>54</v>
      </c>
      <c r="H66" s="9" t="s">
        <v>133</v>
      </c>
      <c r="I66" s="9" t="s">
        <v>56</v>
      </c>
      <c r="J66" s="9" t="s">
        <v>56</v>
      </c>
      <c r="K66" s="6"/>
    </row>
    <row r="67" customFormat="false" ht="15" hidden="false" customHeight="false" outlineLevel="0" collapsed="false">
      <c r="A67" s="6" t="s">
        <v>296</v>
      </c>
      <c r="B67" s="9" t="s">
        <v>297</v>
      </c>
      <c r="C67" s="9" t="s">
        <v>298</v>
      </c>
      <c r="D67" s="9" t="s">
        <v>52</v>
      </c>
      <c r="E67" s="6" t="s">
        <v>237</v>
      </c>
      <c r="F67" s="10" t="n">
        <v>34880</v>
      </c>
      <c r="G67" s="6" t="s">
        <v>54</v>
      </c>
      <c r="H67" s="9" t="s">
        <v>100</v>
      </c>
      <c r="I67" s="9" t="s">
        <v>56</v>
      </c>
      <c r="J67" s="9" t="s">
        <v>56</v>
      </c>
      <c r="K67" s="6"/>
    </row>
    <row r="68" customFormat="false" ht="15" hidden="false" customHeight="false" outlineLevel="0" collapsed="false">
      <c r="A68" s="6" t="s">
        <v>299</v>
      </c>
      <c r="B68" s="9" t="s">
        <v>300</v>
      </c>
      <c r="C68" s="9" t="s">
        <v>301</v>
      </c>
      <c r="D68" s="9" t="s">
        <v>52</v>
      </c>
      <c r="E68" s="6" t="s">
        <v>242</v>
      </c>
      <c r="F68" s="10" t="n">
        <v>34249</v>
      </c>
      <c r="G68" s="9" t="s">
        <v>302</v>
      </c>
      <c r="H68" s="9" t="s">
        <v>303</v>
      </c>
      <c r="I68" s="9" t="s">
        <v>56</v>
      </c>
      <c r="J68" s="9" t="s">
        <v>56</v>
      </c>
      <c r="K68" s="6"/>
    </row>
    <row r="69" customFormat="false" ht="15" hidden="false" customHeight="false" outlineLevel="0" collapsed="false">
      <c r="A69" s="6" t="s">
        <v>304</v>
      </c>
      <c r="B69" s="9" t="s">
        <v>305</v>
      </c>
      <c r="C69" s="9" t="s">
        <v>306</v>
      </c>
      <c r="D69" s="9" t="s">
        <v>64</v>
      </c>
      <c r="E69" s="6" t="s">
        <v>88</v>
      </c>
      <c r="F69" s="10" t="n">
        <v>34234</v>
      </c>
      <c r="G69" s="9" t="s">
        <v>124</v>
      </c>
      <c r="H69" s="9" t="s">
        <v>307</v>
      </c>
      <c r="I69" s="9" t="s">
        <v>56</v>
      </c>
      <c r="J69" s="9" t="s">
        <v>56</v>
      </c>
      <c r="K69" s="6"/>
    </row>
    <row r="70" customFormat="false" ht="15" hidden="false" customHeight="false" outlineLevel="0" collapsed="false">
      <c r="A70" s="6" t="s">
        <v>308</v>
      </c>
      <c r="B70" s="9" t="s">
        <v>309</v>
      </c>
      <c r="C70" s="9" t="s">
        <v>310</v>
      </c>
      <c r="D70" s="9" t="s">
        <v>52</v>
      </c>
      <c r="E70" s="6" t="s">
        <v>109</v>
      </c>
      <c r="F70" s="10" t="n">
        <v>30860</v>
      </c>
      <c r="G70" s="9" t="s">
        <v>124</v>
      </c>
      <c r="H70" s="9" t="s">
        <v>311</v>
      </c>
      <c r="I70" s="9" t="s">
        <v>56</v>
      </c>
      <c r="J70" s="9" t="s">
        <v>56</v>
      </c>
      <c r="K70" s="6"/>
    </row>
    <row r="71" customFormat="false" ht="15" hidden="false" customHeight="false" outlineLevel="0" collapsed="false">
      <c r="A71" s="6" t="s">
        <v>312</v>
      </c>
      <c r="B71" s="9" t="s">
        <v>313</v>
      </c>
      <c r="C71" s="9" t="s">
        <v>314</v>
      </c>
      <c r="D71" s="9" t="s">
        <v>52</v>
      </c>
      <c r="E71" s="6" t="s">
        <v>199</v>
      </c>
      <c r="F71" s="10" t="n">
        <v>30149</v>
      </c>
      <c r="G71" s="6" t="s">
        <v>54</v>
      </c>
      <c r="H71" s="9" t="s">
        <v>133</v>
      </c>
      <c r="I71" s="9" t="s">
        <v>56</v>
      </c>
      <c r="J71" s="9" t="s">
        <v>56</v>
      </c>
      <c r="K71" s="6"/>
    </row>
    <row r="72" customFormat="false" ht="15" hidden="false" customHeight="false" outlineLevel="0" collapsed="false">
      <c r="A72" s="6" t="s">
        <v>315</v>
      </c>
      <c r="B72" s="9" t="s">
        <v>316</v>
      </c>
      <c r="C72" s="9" t="s">
        <v>317</v>
      </c>
      <c r="D72" s="9" t="s">
        <v>64</v>
      </c>
      <c r="E72" s="6" t="s">
        <v>318</v>
      </c>
      <c r="F72" s="10" t="n">
        <v>29715</v>
      </c>
      <c r="G72" s="6" t="s">
        <v>54</v>
      </c>
      <c r="H72" s="9" t="s">
        <v>89</v>
      </c>
      <c r="I72" s="9" t="s">
        <v>56</v>
      </c>
      <c r="J72" s="9" t="s">
        <v>56</v>
      </c>
      <c r="K72" s="6"/>
    </row>
    <row r="73" customFormat="false" ht="15" hidden="false" customHeight="false" outlineLevel="0" collapsed="false">
      <c r="A73" s="9" t="s">
        <v>319</v>
      </c>
      <c r="B73" s="9" t="s">
        <v>320</v>
      </c>
      <c r="C73" s="9" t="s">
        <v>321</v>
      </c>
      <c r="D73" s="9" t="s">
        <v>64</v>
      </c>
      <c r="E73" s="6" t="s">
        <v>88</v>
      </c>
      <c r="F73" s="10" t="n">
        <v>29463</v>
      </c>
      <c r="G73" s="6" t="s">
        <v>54</v>
      </c>
      <c r="H73" s="9" t="s">
        <v>66</v>
      </c>
      <c r="I73" s="9" t="s">
        <v>56</v>
      </c>
      <c r="J73" s="9" t="s">
        <v>56</v>
      </c>
      <c r="K73" s="6"/>
    </row>
    <row r="74" customFormat="false" ht="15" hidden="false" customHeight="false" outlineLevel="0" collapsed="false">
      <c r="A74" s="6" t="s">
        <v>322</v>
      </c>
      <c r="B74" s="9" t="s">
        <v>323</v>
      </c>
      <c r="C74" s="9" t="s">
        <v>324</v>
      </c>
      <c r="D74" s="9" t="s">
        <v>64</v>
      </c>
      <c r="E74" s="6" t="s">
        <v>272</v>
      </c>
      <c r="F74" s="10" t="n">
        <v>29048</v>
      </c>
      <c r="G74" s="6" t="s">
        <v>54</v>
      </c>
      <c r="H74" s="9" t="s">
        <v>133</v>
      </c>
      <c r="I74" s="9" t="s">
        <v>56</v>
      </c>
      <c r="J74" s="9" t="s">
        <v>56</v>
      </c>
      <c r="K74" s="6"/>
    </row>
    <row r="75" customFormat="false" ht="15" hidden="false" customHeight="false" outlineLevel="0" collapsed="false">
      <c r="A75" s="9" t="s">
        <v>325</v>
      </c>
      <c r="B75" s="9" t="s">
        <v>326</v>
      </c>
      <c r="C75" s="9" t="s">
        <v>327</v>
      </c>
      <c r="D75" s="9" t="s">
        <v>52</v>
      </c>
      <c r="E75" s="6" t="s">
        <v>137</v>
      </c>
      <c r="F75" s="10" t="n">
        <v>28303</v>
      </c>
      <c r="G75" s="6" t="s">
        <v>54</v>
      </c>
      <c r="H75" s="9" t="s">
        <v>71</v>
      </c>
      <c r="I75" s="9" t="s">
        <v>56</v>
      </c>
      <c r="J75" s="9" t="s">
        <v>56</v>
      </c>
      <c r="K75" s="6"/>
    </row>
    <row r="76" customFormat="false" ht="15" hidden="false" customHeight="false" outlineLevel="0" collapsed="false">
      <c r="A76" s="6" t="s">
        <v>328</v>
      </c>
      <c r="B76" s="9" t="s">
        <v>329</v>
      </c>
      <c r="C76" s="9" t="s">
        <v>330</v>
      </c>
      <c r="D76" s="9" t="s">
        <v>64</v>
      </c>
      <c r="E76" s="6" t="s">
        <v>188</v>
      </c>
      <c r="F76" s="10" t="n">
        <v>26953</v>
      </c>
      <c r="G76" s="6" t="s">
        <v>54</v>
      </c>
      <c r="H76" s="9" t="s">
        <v>55</v>
      </c>
      <c r="I76" s="9" t="s">
        <v>56</v>
      </c>
      <c r="J76" s="9" t="s">
        <v>56</v>
      </c>
      <c r="K76" s="6"/>
    </row>
    <row r="77" customFormat="false" ht="15" hidden="false" customHeight="false" outlineLevel="0" collapsed="false">
      <c r="A77" s="6" t="s">
        <v>331</v>
      </c>
      <c r="B77" s="9" t="s">
        <v>332</v>
      </c>
      <c r="C77" s="9" t="s">
        <v>333</v>
      </c>
      <c r="D77" s="9" t="s">
        <v>52</v>
      </c>
      <c r="E77" s="6" t="s">
        <v>334</v>
      </c>
      <c r="F77" s="10" t="n">
        <v>26296</v>
      </c>
      <c r="G77" s="6" t="s">
        <v>54</v>
      </c>
      <c r="H77" s="9" t="s">
        <v>100</v>
      </c>
      <c r="I77" s="9" t="s">
        <v>56</v>
      </c>
      <c r="J77" s="9" t="s">
        <v>56</v>
      </c>
      <c r="K77" s="6"/>
    </row>
    <row r="78" customFormat="false" ht="15" hidden="false" customHeight="false" outlineLevel="0" collapsed="false">
      <c r="A78" s="6" t="s">
        <v>335</v>
      </c>
      <c r="B78" s="9" t="s">
        <v>336</v>
      </c>
      <c r="C78" s="9" t="s">
        <v>337</v>
      </c>
      <c r="D78" s="9" t="s">
        <v>64</v>
      </c>
      <c r="E78" s="6" t="s">
        <v>88</v>
      </c>
      <c r="F78" s="10" t="n">
        <v>25187</v>
      </c>
      <c r="G78" s="6" t="s">
        <v>54</v>
      </c>
      <c r="H78" s="9" t="s">
        <v>71</v>
      </c>
      <c r="I78" s="9" t="s">
        <v>56</v>
      </c>
      <c r="J78" s="9" t="s">
        <v>56</v>
      </c>
      <c r="K78" s="6"/>
    </row>
    <row r="79" customFormat="false" ht="15" hidden="false" customHeight="false" outlineLevel="0" collapsed="false">
      <c r="A79" s="6" t="s">
        <v>338</v>
      </c>
      <c r="B79" s="9" t="s">
        <v>339</v>
      </c>
      <c r="C79" s="9" t="s">
        <v>340</v>
      </c>
      <c r="D79" s="9" t="s">
        <v>52</v>
      </c>
      <c r="E79" s="6" t="s">
        <v>167</v>
      </c>
      <c r="F79" s="10" t="n">
        <v>25063</v>
      </c>
      <c r="G79" s="6" t="s">
        <v>54</v>
      </c>
      <c r="H79" s="9" t="s">
        <v>55</v>
      </c>
      <c r="I79" s="9" t="s">
        <v>56</v>
      </c>
      <c r="J79" s="9" t="s">
        <v>56</v>
      </c>
      <c r="K79" s="6"/>
    </row>
    <row r="80" customFormat="false" ht="15" hidden="false" customHeight="false" outlineLevel="0" collapsed="false">
      <c r="A80" s="6" t="s">
        <v>341</v>
      </c>
      <c r="B80" s="9" t="s">
        <v>342</v>
      </c>
      <c r="C80" s="9" t="s">
        <v>343</v>
      </c>
      <c r="D80" s="9" t="s">
        <v>52</v>
      </c>
      <c r="E80" s="6" t="s">
        <v>237</v>
      </c>
      <c r="F80" s="10" t="n">
        <v>22981</v>
      </c>
      <c r="G80" s="9" t="s">
        <v>124</v>
      </c>
      <c r="H80" s="9" t="s">
        <v>344</v>
      </c>
      <c r="I80" s="9" t="s">
        <v>56</v>
      </c>
      <c r="J80" s="9" t="s">
        <v>56</v>
      </c>
      <c r="K80" s="6"/>
    </row>
    <row r="81" customFormat="false" ht="15" hidden="false" customHeight="false" outlineLevel="0" collapsed="false">
      <c r="A81" s="6" t="s">
        <v>345</v>
      </c>
      <c r="B81" s="9" t="s">
        <v>346</v>
      </c>
      <c r="C81" s="9" t="s">
        <v>347</v>
      </c>
      <c r="D81" s="9" t="s">
        <v>52</v>
      </c>
      <c r="E81" s="6" t="s">
        <v>93</v>
      </c>
      <c r="F81" s="10" t="n">
        <v>22945</v>
      </c>
      <c r="G81" s="6" t="s">
        <v>54</v>
      </c>
      <c r="H81" s="9" t="s">
        <v>55</v>
      </c>
      <c r="I81" s="9" t="s">
        <v>56</v>
      </c>
      <c r="J81" s="9" t="s">
        <v>56</v>
      </c>
      <c r="K81" s="6"/>
    </row>
    <row r="82" customFormat="false" ht="15" hidden="false" customHeight="false" outlineLevel="0" collapsed="false">
      <c r="A82" s="6" t="s">
        <v>348</v>
      </c>
      <c r="B82" s="9" t="s">
        <v>349</v>
      </c>
      <c r="C82" s="9" t="s">
        <v>350</v>
      </c>
      <c r="D82" s="9" t="s">
        <v>64</v>
      </c>
      <c r="E82" s="6" t="s">
        <v>351</v>
      </c>
      <c r="F82" s="10" t="n">
        <v>22897</v>
      </c>
      <c r="G82" s="6" t="s">
        <v>54</v>
      </c>
      <c r="H82" s="9" t="s">
        <v>55</v>
      </c>
      <c r="I82" s="9" t="s">
        <v>56</v>
      </c>
      <c r="J82" s="9" t="s">
        <v>56</v>
      </c>
      <c r="K82" s="6"/>
    </row>
    <row r="83" customFormat="false" ht="15" hidden="false" customHeight="false" outlineLevel="0" collapsed="false">
      <c r="A83" s="6" t="s">
        <v>352</v>
      </c>
      <c r="B83" s="9" t="s">
        <v>353</v>
      </c>
      <c r="C83" s="9" t="s">
        <v>354</v>
      </c>
      <c r="D83" s="9" t="s">
        <v>64</v>
      </c>
      <c r="E83" s="6" t="s">
        <v>355</v>
      </c>
      <c r="F83" s="10" t="n">
        <v>22596</v>
      </c>
      <c r="G83" s="6" t="s">
        <v>54</v>
      </c>
      <c r="H83" s="9" t="s">
        <v>89</v>
      </c>
      <c r="I83" s="9" t="s">
        <v>56</v>
      </c>
      <c r="J83" s="9" t="s">
        <v>56</v>
      </c>
      <c r="K83" s="6"/>
    </row>
    <row r="84" customFormat="false" ht="15" hidden="false" customHeight="false" outlineLevel="0" collapsed="false">
      <c r="A84" s="6" t="s">
        <v>356</v>
      </c>
      <c r="B84" s="9" t="s">
        <v>357</v>
      </c>
      <c r="C84" s="9" t="s">
        <v>358</v>
      </c>
      <c r="D84" s="9" t="s">
        <v>52</v>
      </c>
      <c r="E84" s="6" t="s">
        <v>93</v>
      </c>
      <c r="F84" s="10" t="n">
        <v>22463</v>
      </c>
      <c r="G84" s="6" t="s">
        <v>54</v>
      </c>
      <c r="H84" s="9" t="s">
        <v>55</v>
      </c>
      <c r="I84" s="9" t="s">
        <v>56</v>
      </c>
      <c r="J84" s="9" t="s">
        <v>56</v>
      </c>
      <c r="K84" s="6"/>
    </row>
    <row r="85" customFormat="false" ht="15" hidden="false" customHeight="false" outlineLevel="0" collapsed="false">
      <c r="A85" s="6" t="s">
        <v>359</v>
      </c>
      <c r="B85" s="9" t="s">
        <v>360</v>
      </c>
      <c r="C85" s="9" t="s">
        <v>361</v>
      </c>
      <c r="D85" s="9" t="s">
        <v>64</v>
      </c>
      <c r="E85" s="6" t="s">
        <v>65</v>
      </c>
      <c r="F85" s="10" t="n">
        <v>22121</v>
      </c>
      <c r="G85" s="6" t="s">
        <v>54</v>
      </c>
      <c r="H85" s="9" t="s">
        <v>66</v>
      </c>
      <c r="I85" s="9" t="s">
        <v>56</v>
      </c>
      <c r="J85" s="9" t="s">
        <v>56</v>
      </c>
      <c r="K85" s="6"/>
    </row>
    <row r="86" customFormat="false" ht="15" hidden="false" customHeight="false" outlineLevel="0" collapsed="false">
      <c r="A86" s="6" t="s">
        <v>362</v>
      </c>
      <c r="B86" s="9" t="s">
        <v>363</v>
      </c>
      <c r="C86" s="9" t="s">
        <v>364</v>
      </c>
      <c r="D86" s="9" t="s">
        <v>52</v>
      </c>
      <c r="E86" s="6" t="s">
        <v>199</v>
      </c>
      <c r="F86" s="10" t="n">
        <v>21696</v>
      </c>
      <c r="G86" s="6" t="s">
        <v>54</v>
      </c>
      <c r="H86" s="9" t="s">
        <v>66</v>
      </c>
      <c r="I86" s="9" t="s">
        <v>56</v>
      </c>
      <c r="J86" s="9" t="s">
        <v>56</v>
      </c>
      <c r="K86" s="6"/>
    </row>
    <row r="87" customFormat="false" ht="15" hidden="false" customHeight="false" outlineLevel="0" collapsed="false">
      <c r="A87" s="6" t="s">
        <v>365</v>
      </c>
      <c r="B87" s="9" t="s">
        <v>366</v>
      </c>
      <c r="C87" s="9" t="s">
        <v>367</v>
      </c>
      <c r="D87" s="9" t="s">
        <v>64</v>
      </c>
      <c r="E87" s="6" t="s">
        <v>88</v>
      </c>
      <c r="F87" s="10" t="n">
        <v>21177</v>
      </c>
      <c r="G87" s="6" t="s">
        <v>54</v>
      </c>
      <c r="H87" s="9" t="s">
        <v>100</v>
      </c>
      <c r="I87" s="9" t="s">
        <v>56</v>
      </c>
      <c r="J87" s="9" t="s">
        <v>56</v>
      </c>
      <c r="K87" s="6"/>
    </row>
    <row r="88" customFormat="false" ht="15" hidden="false" customHeight="false" outlineLevel="0" collapsed="false">
      <c r="A88" s="6" t="s">
        <v>368</v>
      </c>
      <c r="B88" s="9" t="s">
        <v>369</v>
      </c>
      <c r="C88" s="9" t="s">
        <v>370</v>
      </c>
      <c r="D88" s="9" t="s">
        <v>52</v>
      </c>
      <c r="E88" s="6" t="s">
        <v>109</v>
      </c>
      <c r="F88" s="10" t="n">
        <v>20414</v>
      </c>
      <c r="G88" s="6" t="s">
        <v>54</v>
      </c>
      <c r="H88" s="9" t="s">
        <v>55</v>
      </c>
      <c r="I88" s="9" t="s">
        <v>56</v>
      </c>
      <c r="J88" s="9" t="s">
        <v>56</v>
      </c>
      <c r="K88" s="6"/>
    </row>
    <row r="89" customFormat="false" ht="15" hidden="false" customHeight="false" outlineLevel="0" collapsed="false">
      <c r="A89" s="9" t="s">
        <v>371</v>
      </c>
      <c r="B89" s="9" t="s">
        <v>372</v>
      </c>
      <c r="C89" s="9" t="s">
        <v>373</v>
      </c>
      <c r="D89" s="9" t="s">
        <v>52</v>
      </c>
      <c r="E89" s="6" t="s">
        <v>149</v>
      </c>
      <c r="F89" s="10" t="n">
        <v>20366</v>
      </c>
      <c r="G89" s="9" t="s">
        <v>124</v>
      </c>
      <c r="H89" s="9" t="s">
        <v>133</v>
      </c>
      <c r="I89" s="9" t="s">
        <v>56</v>
      </c>
      <c r="J89" s="9" t="s">
        <v>56</v>
      </c>
      <c r="K89" s="6"/>
    </row>
    <row r="90" customFormat="false" ht="15" hidden="false" customHeight="false" outlineLevel="0" collapsed="false">
      <c r="A90" s="6" t="s">
        <v>374</v>
      </c>
      <c r="B90" s="9" t="s">
        <v>375</v>
      </c>
      <c r="C90" s="9" t="s">
        <v>376</v>
      </c>
      <c r="D90" s="9" t="s">
        <v>52</v>
      </c>
      <c r="E90" s="6" t="s">
        <v>60</v>
      </c>
      <c r="F90" s="10" t="n">
        <v>18766</v>
      </c>
      <c r="G90" s="6" t="s">
        <v>54</v>
      </c>
      <c r="H90" s="9" t="s">
        <v>66</v>
      </c>
      <c r="I90" s="9" t="s">
        <v>56</v>
      </c>
      <c r="J90" s="9" t="s">
        <v>56</v>
      </c>
      <c r="K90" s="6"/>
    </row>
    <row r="91" customFormat="false" ht="15" hidden="false" customHeight="false" outlineLevel="0" collapsed="false">
      <c r="A91" s="6" t="s">
        <v>377</v>
      </c>
      <c r="B91" s="9" t="s">
        <v>378</v>
      </c>
      <c r="C91" s="9" t="s">
        <v>379</v>
      </c>
      <c r="D91" s="9" t="s">
        <v>52</v>
      </c>
      <c r="E91" s="6" t="s">
        <v>132</v>
      </c>
      <c r="F91" s="10" t="n">
        <v>17817</v>
      </c>
      <c r="G91" s="6" t="s">
        <v>54</v>
      </c>
      <c r="H91" s="9" t="s">
        <v>55</v>
      </c>
      <c r="I91" s="9" t="s">
        <v>56</v>
      </c>
      <c r="J91" s="9" t="s">
        <v>56</v>
      </c>
      <c r="K91" s="6"/>
    </row>
    <row r="92" customFormat="false" ht="15" hidden="false" customHeight="false" outlineLevel="0" collapsed="false">
      <c r="A92" s="6" t="s">
        <v>380</v>
      </c>
      <c r="B92" s="9" t="s">
        <v>381</v>
      </c>
      <c r="C92" s="9" t="s">
        <v>382</v>
      </c>
      <c r="D92" s="9" t="s">
        <v>64</v>
      </c>
      <c r="E92" s="6" t="s">
        <v>88</v>
      </c>
      <c r="F92" s="10" t="n">
        <v>17526</v>
      </c>
      <c r="G92" s="9" t="s">
        <v>124</v>
      </c>
      <c r="H92" s="9" t="s">
        <v>383</v>
      </c>
      <c r="I92" s="9" t="s">
        <v>56</v>
      </c>
      <c r="J92" s="9" t="s">
        <v>56</v>
      </c>
      <c r="K92" s="6"/>
    </row>
    <row r="93" customFormat="false" ht="15" hidden="false" customHeight="false" outlineLevel="0" collapsed="false">
      <c r="A93" s="6" t="s">
        <v>384</v>
      </c>
      <c r="B93" s="9" t="s">
        <v>385</v>
      </c>
      <c r="C93" s="9" t="s">
        <v>386</v>
      </c>
      <c r="D93" s="9" t="s">
        <v>64</v>
      </c>
      <c r="E93" s="6" t="s">
        <v>99</v>
      </c>
      <c r="F93" s="10" t="n">
        <v>17207</v>
      </c>
      <c r="G93" s="6" t="s">
        <v>54</v>
      </c>
      <c r="H93" s="9" t="s">
        <v>159</v>
      </c>
      <c r="I93" s="9" t="s">
        <v>56</v>
      </c>
      <c r="J93" s="9" t="s">
        <v>56</v>
      </c>
      <c r="K93" s="6"/>
    </row>
    <row r="94" customFormat="false" ht="15" hidden="false" customHeight="false" outlineLevel="0" collapsed="false">
      <c r="A94" s="6" t="s">
        <v>387</v>
      </c>
      <c r="B94" s="9" t="s">
        <v>388</v>
      </c>
      <c r="C94" s="9" t="s">
        <v>389</v>
      </c>
      <c r="D94" s="9" t="s">
        <v>64</v>
      </c>
      <c r="E94" s="6" t="s">
        <v>88</v>
      </c>
      <c r="F94" s="10" t="n">
        <v>16902</v>
      </c>
      <c r="G94" s="6" t="s">
        <v>54</v>
      </c>
      <c r="H94" s="9" t="s">
        <v>133</v>
      </c>
      <c r="I94" s="6"/>
      <c r="J94" s="9" t="s">
        <v>56</v>
      </c>
      <c r="K94" s="9" t="s">
        <v>56</v>
      </c>
    </row>
    <row r="95" customFormat="false" ht="15" hidden="false" customHeight="false" outlineLevel="0" collapsed="false">
      <c r="A95" s="6" t="s">
        <v>390</v>
      </c>
      <c r="B95" s="9" t="s">
        <v>391</v>
      </c>
      <c r="C95" s="9" t="s">
        <v>392</v>
      </c>
      <c r="D95" s="9" t="s">
        <v>52</v>
      </c>
      <c r="E95" s="6" t="s">
        <v>393</v>
      </c>
      <c r="F95" s="10" t="n">
        <v>16818</v>
      </c>
      <c r="G95" s="6" t="s">
        <v>54</v>
      </c>
      <c r="H95" s="9" t="s">
        <v>394</v>
      </c>
      <c r="I95" s="9" t="s">
        <v>56</v>
      </c>
      <c r="J95" s="9" t="s">
        <v>56</v>
      </c>
      <c r="K95" s="6"/>
    </row>
    <row r="96" customFormat="false" ht="15" hidden="false" customHeight="false" outlineLevel="0" collapsed="false">
      <c r="A96" s="9" t="s">
        <v>395</v>
      </c>
      <c r="B96" s="9" t="s">
        <v>396</v>
      </c>
      <c r="C96" s="9" t="s">
        <v>397</v>
      </c>
      <c r="D96" s="9" t="s">
        <v>64</v>
      </c>
      <c r="E96" s="6" t="s">
        <v>398</v>
      </c>
      <c r="F96" s="10" t="n">
        <v>16246</v>
      </c>
      <c r="G96" s="6" t="s">
        <v>54</v>
      </c>
      <c r="H96" s="9" t="s">
        <v>76</v>
      </c>
      <c r="I96" s="9" t="s">
        <v>56</v>
      </c>
      <c r="J96" s="9" t="s">
        <v>56</v>
      </c>
      <c r="K96" s="6"/>
    </row>
    <row r="97" customFormat="false" ht="15" hidden="false" customHeight="false" outlineLevel="0" collapsed="false">
      <c r="A97" s="9" t="s">
        <v>399</v>
      </c>
      <c r="B97" s="9" t="s">
        <v>400</v>
      </c>
      <c r="C97" s="9" t="s">
        <v>401</v>
      </c>
      <c r="D97" s="9" t="s">
        <v>52</v>
      </c>
      <c r="E97" s="6" t="s">
        <v>149</v>
      </c>
      <c r="F97" s="10" t="n">
        <v>15506</v>
      </c>
      <c r="G97" s="6" t="s">
        <v>54</v>
      </c>
      <c r="H97" s="9" t="s">
        <v>55</v>
      </c>
      <c r="I97" s="9" t="s">
        <v>56</v>
      </c>
      <c r="J97" s="9" t="s">
        <v>56</v>
      </c>
      <c r="K97" s="6"/>
    </row>
    <row r="98" customFormat="false" ht="15" hidden="false" customHeight="false" outlineLevel="0" collapsed="false">
      <c r="A98" s="6" t="s">
        <v>402</v>
      </c>
      <c r="B98" s="9" t="s">
        <v>403</v>
      </c>
      <c r="C98" s="9" t="s">
        <v>404</v>
      </c>
      <c r="D98" s="9" t="s">
        <v>64</v>
      </c>
      <c r="E98" s="6" t="s">
        <v>405</v>
      </c>
      <c r="F98" s="10" t="n">
        <v>15231</v>
      </c>
      <c r="G98" s="9" t="s">
        <v>406</v>
      </c>
      <c r="H98" s="9" t="s">
        <v>221</v>
      </c>
      <c r="I98" s="9" t="s">
        <v>56</v>
      </c>
      <c r="J98" s="9" t="s">
        <v>56</v>
      </c>
      <c r="K98" s="6"/>
    </row>
    <row r="99" customFormat="false" ht="15" hidden="false" customHeight="false" outlineLevel="0" collapsed="false">
      <c r="A99" s="9" t="s">
        <v>407</v>
      </c>
      <c r="B99" s="9" t="s">
        <v>408</v>
      </c>
      <c r="C99" s="9" t="s">
        <v>409</v>
      </c>
      <c r="D99" s="9" t="s">
        <v>52</v>
      </c>
      <c r="E99" s="6" t="s">
        <v>410</v>
      </c>
      <c r="F99" s="10" t="n">
        <v>15008</v>
      </c>
      <c r="G99" s="6" t="s">
        <v>54</v>
      </c>
      <c r="H99" s="9" t="s">
        <v>55</v>
      </c>
      <c r="I99" s="9" t="s">
        <v>56</v>
      </c>
      <c r="J99" s="9" t="s">
        <v>56</v>
      </c>
      <c r="K99" s="6"/>
    </row>
    <row r="100" customFormat="false" ht="15" hidden="false" customHeight="false" outlineLevel="0" collapsed="false">
      <c r="A100" s="9" t="s">
        <v>411</v>
      </c>
      <c r="B100" s="9" t="s">
        <v>412</v>
      </c>
      <c r="C100" s="9" t="s">
        <v>413</v>
      </c>
      <c r="D100" s="9" t="s">
        <v>52</v>
      </c>
      <c r="E100" s="6" t="s">
        <v>65</v>
      </c>
      <c r="F100" s="10" t="n">
        <v>14496</v>
      </c>
      <c r="G100" s="6" t="s">
        <v>54</v>
      </c>
      <c r="H100" s="9" t="s">
        <v>55</v>
      </c>
      <c r="I100" s="9" t="s">
        <v>56</v>
      </c>
      <c r="J100" s="9" t="s">
        <v>56</v>
      </c>
      <c r="K100" s="6"/>
    </row>
    <row r="101" customFormat="false" ht="15" hidden="false" customHeight="false" outlineLevel="0" collapsed="false">
      <c r="A101" s="9" t="s">
        <v>414</v>
      </c>
      <c r="B101" s="9" t="s">
        <v>415</v>
      </c>
      <c r="C101" s="9" t="s">
        <v>416</v>
      </c>
      <c r="D101" s="9" t="s">
        <v>52</v>
      </c>
      <c r="E101" s="6" t="s">
        <v>199</v>
      </c>
      <c r="F101" s="10" t="n">
        <v>14363</v>
      </c>
      <c r="G101" s="6" t="s">
        <v>54</v>
      </c>
      <c r="H101" s="9" t="s">
        <v>76</v>
      </c>
      <c r="I101" s="9" t="s">
        <v>56</v>
      </c>
      <c r="J101" s="9" t="s">
        <v>56</v>
      </c>
      <c r="K101" s="6"/>
    </row>
    <row r="102" customFormat="false" ht="15" hidden="false" customHeight="false" outlineLevel="0" collapsed="false">
      <c r="A102" s="6" t="s">
        <v>417</v>
      </c>
      <c r="B102" s="9" t="s">
        <v>418</v>
      </c>
      <c r="C102" s="9" t="s">
        <v>419</v>
      </c>
      <c r="D102" s="9" t="s">
        <v>64</v>
      </c>
      <c r="E102" s="6" t="s">
        <v>145</v>
      </c>
      <c r="F102" s="10" t="n">
        <v>13936</v>
      </c>
      <c r="G102" s="6" t="s">
        <v>54</v>
      </c>
      <c r="H102" s="9" t="s">
        <v>66</v>
      </c>
      <c r="I102" s="9" t="s">
        <v>56</v>
      </c>
      <c r="J102" s="9" t="s">
        <v>56</v>
      </c>
      <c r="K102" s="6"/>
    </row>
    <row r="103" customFormat="false" ht="15" hidden="false" customHeight="false" outlineLevel="0" collapsed="false">
      <c r="A103" s="6" t="s">
        <v>420</v>
      </c>
      <c r="B103" s="9" t="s">
        <v>421</v>
      </c>
      <c r="C103" s="9" t="s">
        <v>422</v>
      </c>
      <c r="D103" s="9" t="s">
        <v>64</v>
      </c>
      <c r="E103" s="6" t="s">
        <v>99</v>
      </c>
      <c r="F103" s="10" t="n">
        <v>13741</v>
      </c>
      <c r="G103" s="6" t="s">
        <v>54</v>
      </c>
      <c r="H103" s="9" t="s">
        <v>66</v>
      </c>
      <c r="I103" s="6"/>
      <c r="J103" s="9" t="s">
        <v>56</v>
      </c>
      <c r="K103" s="9" t="s">
        <v>56</v>
      </c>
    </row>
    <row r="104" customFormat="false" ht="15" hidden="false" customHeight="false" outlineLevel="0" collapsed="false">
      <c r="A104" s="6" t="s">
        <v>423</v>
      </c>
      <c r="B104" s="9" t="s">
        <v>424</v>
      </c>
      <c r="C104" s="9" t="s">
        <v>425</v>
      </c>
      <c r="D104" s="9" t="s">
        <v>52</v>
      </c>
      <c r="E104" s="6" t="s">
        <v>65</v>
      </c>
      <c r="F104" s="10" t="n">
        <v>13561</v>
      </c>
      <c r="G104" s="9" t="s">
        <v>124</v>
      </c>
      <c r="H104" s="9" t="s">
        <v>426</v>
      </c>
      <c r="I104" s="9" t="s">
        <v>56</v>
      </c>
      <c r="J104" s="9" t="s">
        <v>56</v>
      </c>
      <c r="K104" s="6"/>
    </row>
  </sheetData>
  <autoFilter ref="A4:K1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8.35"/>
    <col collapsed="false" customWidth="true" hidden="false" outlineLevel="0" max="3" min="3" style="0" width="7.51"/>
    <col collapsed="false" customWidth="true" hidden="false" outlineLevel="0" max="4" min="4" style="0" width="18.36"/>
    <col collapsed="false" customWidth="true" hidden="false" outlineLevel="0" max="5" min="5" style="0" width="33.38"/>
    <col collapsed="false" customWidth="true" hidden="false" outlineLevel="0" max="6" min="6" style="0" width="43.4"/>
    <col collapsed="false" customWidth="true" hidden="false" outlineLevel="0" max="7" min="7" style="0" width="12.52"/>
    <col collapsed="false" customWidth="true" hidden="false" outlineLevel="0" max="9" min="8" style="0" width="11.68"/>
    <col collapsed="false" customWidth="true" hidden="false" outlineLevel="0" max="10" min="10" style="0" width="10.02"/>
    <col collapsed="false" customWidth="true" hidden="false" outlineLevel="0" max="11" min="11" style="0" width="15.02"/>
    <col collapsed="false" customWidth="true" hidden="false" outlineLevel="0" max="12" min="12" style="0" width="35.05"/>
    <col collapsed="false" customWidth="true" hidden="false" outlineLevel="0" max="13" min="13" style="0" width="10.02"/>
    <col collapsed="false" customWidth="true" hidden="false" outlineLevel="0" max="14" min="14" style="0" width="13.35"/>
    <col collapsed="false" customWidth="true" hidden="false" outlineLevel="0" max="15" min="15" style="0" width="38.39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41</v>
      </c>
      <c r="D4" s="5" t="s">
        <v>42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  <c r="J4" s="5" t="s">
        <v>434</v>
      </c>
      <c r="K4" s="5" t="s">
        <v>435</v>
      </c>
      <c r="L4" s="5" t="s">
        <v>436</v>
      </c>
      <c r="M4" s="5" t="s">
        <v>2</v>
      </c>
      <c r="N4" s="5" t="s">
        <v>437</v>
      </c>
      <c r="O4" s="5" t="s">
        <v>438</v>
      </c>
    </row>
    <row r="5" customFormat="false" ht="28.35" hidden="false" customHeight="false" outlineLevel="0" collapsed="false">
      <c r="A5" s="6" t="s">
        <v>169</v>
      </c>
      <c r="B5" s="9" t="s">
        <v>170</v>
      </c>
      <c r="C5" s="9" t="s">
        <v>52</v>
      </c>
      <c r="D5" s="6" t="s">
        <v>172</v>
      </c>
      <c r="E5" s="6" t="s">
        <v>439</v>
      </c>
      <c r="F5" s="11" t="s">
        <v>440</v>
      </c>
      <c r="G5" s="10" t="n">
        <v>756746.6</v>
      </c>
      <c r="H5" s="9" t="s">
        <v>441</v>
      </c>
      <c r="I5" s="6" t="s">
        <v>442</v>
      </c>
      <c r="J5" s="6"/>
      <c r="K5" s="6" t="s">
        <v>442</v>
      </c>
      <c r="L5" s="6" t="s">
        <v>443</v>
      </c>
      <c r="M5" s="9" t="s">
        <v>444</v>
      </c>
      <c r="N5" s="9" t="s">
        <v>445</v>
      </c>
      <c r="O5" s="12" t="s">
        <v>446</v>
      </c>
    </row>
    <row r="6" customFormat="false" ht="28.35" hidden="false" customHeight="false" outlineLevel="0" collapsed="false">
      <c r="A6" s="9" t="s">
        <v>174</v>
      </c>
      <c r="B6" s="9" t="s">
        <v>175</v>
      </c>
      <c r="C6" s="9" t="s">
        <v>52</v>
      </c>
      <c r="D6" s="6" t="s">
        <v>75</v>
      </c>
      <c r="E6" s="6" t="s">
        <v>447</v>
      </c>
      <c r="F6" s="11" t="s">
        <v>448</v>
      </c>
      <c r="G6" s="10" t="n">
        <v>347881.5</v>
      </c>
      <c r="H6" s="9" t="s">
        <v>449</v>
      </c>
      <c r="I6" s="6" t="s">
        <v>450</v>
      </c>
      <c r="J6" s="6"/>
      <c r="K6" s="6" t="s">
        <v>450</v>
      </c>
      <c r="L6" s="6" t="s">
        <v>451</v>
      </c>
      <c r="M6" s="9" t="s">
        <v>444</v>
      </c>
      <c r="N6" s="9" t="s">
        <v>452</v>
      </c>
      <c r="O6" s="12" t="s">
        <v>453</v>
      </c>
    </row>
    <row r="7" customFormat="false" ht="28.35" hidden="false" customHeight="false" outlineLevel="0" collapsed="false">
      <c r="A7" s="9" t="s">
        <v>196</v>
      </c>
      <c r="B7" s="9" t="s">
        <v>197</v>
      </c>
      <c r="C7" s="9" t="s">
        <v>52</v>
      </c>
      <c r="D7" s="6" t="s">
        <v>199</v>
      </c>
      <c r="E7" s="6" t="s">
        <v>454</v>
      </c>
      <c r="F7" s="11" t="s">
        <v>455</v>
      </c>
      <c r="G7" s="10" t="n">
        <v>123570.7</v>
      </c>
      <c r="H7" s="9" t="s">
        <v>456</v>
      </c>
      <c r="I7" s="6" t="s">
        <v>450</v>
      </c>
      <c r="J7" s="6"/>
      <c r="K7" s="6" t="s">
        <v>450</v>
      </c>
      <c r="L7" s="6" t="s">
        <v>457</v>
      </c>
      <c r="M7" s="9" t="s">
        <v>444</v>
      </c>
      <c r="N7" s="9" t="s">
        <v>458</v>
      </c>
      <c r="O7" s="12" t="s">
        <v>459</v>
      </c>
    </row>
    <row r="8" customFormat="false" ht="28.35" hidden="false" customHeight="false" outlineLevel="0" collapsed="false">
      <c r="A8" s="9" t="s">
        <v>213</v>
      </c>
      <c r="B8" s="9" t="s">
        <v>214</v>
      </c>
      <c r="C8" s="9" t="s">
        <v>52</v>
      </c>
      <c r="D8" s="6" t="s">
        <v>216</v>
      </c>
      <c r="E8" s="6" t="s">
        <v>460</v>
      </c>
      <c r="F8" s="11" t="s">
        <v>461</v>
      </c>
      <c r="G8" s="10" t="n">
        <v>115856</v>
      </c>
      <c r="H8" s="9" t="s">
        <v>462</v>
      </c>
      <c r="I8" s="6" t="s">
        <v>442</v>
      </c>
      <c r="J8" s="6"/>
      <c r="K8" s="6" t="s">
        <v>442</v>
      </c>
      <c r="L8" s="6" t="s">
        <v>463</v>
      </c>
      <c r="M8" s="9" t="s">
        <v>444</v>
      </c>
      <c r="N8" s="9" t="s">
        <v>464</v>
      </c>
      <c r="O8" s="12" t="s">
        <v>465</v>
      </c>
    </row>
    <row r="9" customFormat="false" ht="28.35" hidden="false" customHeight="false" outlineLevel="0" collapsed="false">
      <c r="A9" s="6" t="s">
        <v>178</v>
      </c>
      <c r="B9" s="9" t="s">
        <v>179</v>
      </c>
      <c r="C9" s="9" t="s">
        <v>52</v>
      </c>
      <c r="D9" s="6" t="s">
        <v>181</v>
      </c>
      <c r="E9" s="6" t="s">
        <v>466</v>
      </c>
      <c r="F9" s="11" t="s">
        <v>467</v>
      </c>
      <c r="G9" s="10" t="n">
        <v>94130</v>
      </c>
      <c r="H9" s="9" t="s">
        <v>468</v>
      </c>
      <c r="I9" s="6" t="s">
        <v>442</v>
      </c>
      <c r="J9" s="6"/>
      <c r="K9" s="6" t="s">
        <v>442</v>
      </c>
      <c r="L9" s="6" t="s">
        <v>469</v>
      </c>
      <c r="M9" s="9" t="s">
        <v>444</v>
      </c>
      <c r="N9" s="9" t="s">
        <v>470</v>
      </c>
      <c r="O9" s="12" t="s">
        <v>471</v>
      </c>
    </row>
    <row r="10" customFormat="false" ht="28.35" hidden="false" customHeight="false" outlineLevel="0" collapsed="false">
      <c r="A10" s="6" t="s">
        <v>182</v>
      </c>
      <c r="B10" s="9" t="s">
        <v>183</v>
      </c>
      <c r="C10" s="9" t="s">
        <v>52</v>
      </c>
      <c r="D10" s="6" t="s">
        <v>181</v>
      </c>
      <c r="E10" s="6" t="s">
        <v>472</v>
      </c>
      <c r="F10" s="11" t="s">
        <v>473</v>
      </c>
      <c r="G10" s="10" t="n">
        <v>83932.8</v>
      </c>
      <c r="H10" s="9" t="s">
        <v>474</v>
      </c>
      <c r="I10" s="6" t="s">
        <v>442</v>
      </c>
      <c r="J10" s="6"/>
      <c r="K10" s="6" t="s">
        <v>442</v>
      </c>
      <c r="L10" s="6" t="s">
        <v>475</v>
      </c>
      <c r="M10" s="9" t="s">
        <v>444</v>
      </c>
      <c r="N10" s="9" t="s">
        <v>476</v>
      </c>
      <c r="O10" s="12" t="s">
        <v>477</v>
      </c>
    </row>
    <row r="11" customFormat="false" ht="23.85" hidden="false" customHeight="false" outlineLevel="0" collapsed="false">
      <c r="A11" s="6" t="s">
        <v>189</v>
      </c>
      <c r="B11" s="9" t="s">
        <v>190</v>
      </c>
      <c r="C11" s="9" t="s">
        <v>52</v>
      </c>
      <c r="D11" s="6" t="s">
        <v>120</v>
      </c>
      <c r="E11" s="6" t="s">
        <v>478</v>
      </c>
      <c r="F11" s="6" t="s">
        <v>479</v>
      </c>
      <c r="G11" s="10" t="n">
        <v>70410.8</v>
      </c>
      <c r="H11" s="9" t="s">
        <v>480</v>
      </c>
      <c r="I11" s="6" t="s">
        <v>442</v>
      </c>
      <c r="J11" s="6"/>
      <c r="K11" s="6" t="s">
        <v>442</v>
      </c>
      <c r="L11" s="6" t="s">
        <v>481</v>
      </c>
      <c r="M11" s="9" t="s">
        <v>444</v>
      </c>
      <c r="N11" s="9" t="s">
        <v>482</v>
      </c>
      <c r="O11" s="12" t="s">
        <v>483</v>
      </c>
    </row>
    <row r="12" customFormat="false" ht="28.35" hidden="false" customHeight="false" outlineLevel="0" collapsed="false">
      <c r="A12" s="6" t="s">
        <v>231</v>
      </c>
      <c r="B12" s="9" t="s">
        <v>232</v>
      </c>
      <c r="C12" s="9" t="s">
        <v>52</v>
      </c>
      <c r="D12" s="6" t="s">
        <v>65</v>
      </c>
      <c r="E12" s="6" t="s">
        <v>484</v>
      </c>
      <c r="F12" s="11" t="s">
        <v>485</v>
      </c>
      <c r="G12" s="10" t="n">
        <v>30756.5</v>
      </c>
      <c r="H12" s="9" t="s">
        <v>486</v>
      </c>
      <c r="I12" s="6" t="s">
        <v>450</v>
      </c>
      <c r="J12" s="6"/>
      <c r="K12" s="6" t="s">
        <v>450</v>
      </c>
      <c r="L12" s="6" t="s">
        <v>487</v>
      </c>
      <c r="M12" s="9" t="s">
        <v>444</v>
      </c>
      <c r="N12" s="9" t="s">
        <v>488</v>
      </c>
      <c r="O12" s="12" t="s">
        <v>489</v>
      </c>
    </row>
    <row r="13" customFormat="false" ht="28.35" hidden="false" customHeight="false" outlineLevel="0" collapsed="false">
      <c r="A13" s="6" t="s">
        <v>49</v>
      </c>
      <c r="B13" s="9" t="s">
        <v>50</v>
      </c>
      <c r="C13" s="9" t="s">
        <v>52</v>
      </c>
      <c r="D13" s="6" t="s">
        <v>53</v>
      </c>
      <c r="E13" s="6" t="s">
        <v>490</v>
      </c>
      <c r="F13" s="11" t="s">
        <v>491</v>
      </c>
      <c r="G13" s="10" t="n">
        <v>24125.6</v>
      </c>
      <c r="H13" s="9" t="s">
        <v>492</v>
      </c>
      <c r="I13" s="6" t="s">
        <v>442</v>
      </c>
      <c r="J13" s="6"/>
      <c r="K13" s="6" t="s">
        <v>442</v>
      </c>
      <c r="L13" s="6" t="s">
        <v>493</v>
      </c>
      <c r="M13" s="9" t="s">
        <v>444</v>
      </c>
      <c r="N13" s="9" t="s">
        <v>494</v>
      </c>
      <c r="O13" s="12" t="s">
        <v>495</v>
      </c>
    </row>
    <row r="14" customFormat="false" ht="28.35" hidden="false" customHeight="false" outlineLevel="0" collapsed="false">
      <c r="A14" s="6" t="s">
        <v>356</v>
      </c>
      <c r="B14" s="9" t="s">
        <v>357</v>
      </c>
      <c r="C14" s="9" t="s">
        <v>52</v>
      </c>
      <c r="D14" s="6" t="s">
        <v>93</v>
      </c>
      <c r="E14" s="6" t="s">
        <v>496</v>
      </c>
      <c r="F14" s="11" t="s">
        <v>497</v>
      </c>
      <c r="G14" s="10" t="n">
        <v>20543.6</v>
      </c>
      <c r="H14" s="9" t="s">
        <v>498</v>
      </c>
      <c r="I14" s="6" t="s">
        <v>450</v>
      </c>
      <c r="J14" s="6"/>
      <c r="K14" s="6" t="s">
        <v>450</v>
      </c>
      <c r="L14" s="6" t="s">
        <v>499</v>
      </c>
      <c r="M14" s="9" t="s">
        <v>444</v>
      </c>
      <c r="N14" s="9" t="s">
        <v>500</v>
      </c>
      <c r="O14" s="12" t="s">
        <v>501</v>
      </c>
    </row>
    <row r="15" customFormat="false" ht="28.35" hidden="false" customHeight="false" outlineLevel="0" collapsed="false">
      <c r="A15" s="6" t="s">
        <v>263</v>
      </c>
      <c r="B15" s="9" t="s">
        <v>264</v>
      </c>
      <c r="C15" s="9" t="s">
        <v>52</v>
      </c>
      <c r="D15" s="6" t="s">
        <v>60</v>
      </c>
      <c r="E15" s="6" t="s">
        <v>502</v>
      </c>
      <c r="F15" s="11" t="s">
        <v>503</v>
      </c>
      <c r="G15" s="10" t="n">
        <v>17767.3</v>
      </c>
      <c r="H15" s="9" t="s">
        <v>504</v>
      </c>
      <c r="I15" s="6" t="s">
        <v>450</v>
      </c>
      <c r="J15" s="6"/>
      <c r="K15" s="6" t="s">
        <v>450</v>
      </c>
      <c r="L15" s="6" t="s">
        <v>505</v>
      </c>
      <c r="M15" s="9" t="s">
        <v>444</v>
      </c>
      <c r="N15" s="9" t="s">
        <v>506</v>
      </c>
      <c r="O15" s="12" t="s">
        <v>507</v>
      </c>
    </row>
    <row r="16" customFormat="false" ht="28.35" hidden="false" customHeight="false" outlineLevel="0" collapsed="false">
      <c r="A16" s="9" t="s">
        <v>325</v>
      </c>
      <c r="B16" s="9" t="s">
        <v>326</v>
      </c>
      <c r="C16" s="9" t="s">
        <v>52</v>
      </c>
      <c r="D16" s="6" t="s">
        <v>137</v>
      </c>
      <c r="E16" s="6" t="s">
        <v>508</v>
      </c>
      <c r="F16" s="11" t="s">
        <v>509</v>
      </c>
      <c r="G16" s="10" t="n">
        <v>15224.1</v>
      </c>
      <c r="H16" s="9" t="s">
        <v>510</v>
      </c>
      <c r="I16" s="6" t="s">
        <v>511</v>
      </c>
      <c r="J16" s="6"/>
      <c r="K16" s="6" t="s">
        <v>511</v>
      </c>
      <c r="L16" s="6" t="s">
        <v>512</v>
      </c>
      <c r="M16" s="9" t="s">
        <v>444</v>
      </c>
      <c r="N16" s="9" t="s">
        <v>513</v>
      </c>
      <c r="O16" s="12" t="s">
        <v>514</v>
      </c>
    </row>
    <row r="17" customFormat="false" ht="28.35" hidden="false" customHeight="false" outlineLevel="0" collapsed="false">
      <c r="A17" s="6" t="s">
        <v>208</v>
      </c>
      <c r="B17" s="9" t="s">
        <v>209</v>
      </c>
      <c r="C17" s="9" t="s">
        <v>52</v>
      </c>
      <c r="D17" s="9" t="s">
        <v>211</v>
      </c>
      <c r="E17" s="6" t="s">
        <v>508</v>
      </c>
      <c r="F17" s="11" t="s">
        <v>515</v>
      </c>
      <c r="G17" s="10" t="n">
        <v>15212.4</v>
      </c>
      <c r="H17" s="9" t="s">
        <v>510</v>
      </c>
      <c r="I17" s="6" t="s">
        <v>450</v>
      </c>
      <c r="J17" s="6"/>
      <c r="K17" s="6" t="s">
        <v>450</v>
      </c>
      <c r="L17" s="6" t="s">
        <v>516</v>
      </c>
      <c r="M17" s="9" t="s">
        <v>444</v>
      </c>
      <c r="N17" s="9" t="s">
        <v>517</v>
      </c>
      <c r="O17" s="12" t="s">
        <v>518</v>
      </c>
    </row>
    <row r="18" customFormat="false" ht="28.35" hidden="false" customHeight="false" outlineLevel="0" collapsed="false">
      <c r="A18" s="6" t="s">
        <v>250</v>
      </c>
      <c r="B18" s="9" t="s">
        <v>251</v>
      </c>
      <c r="C18" s="9" t="s">
        <v>52</v>
      </c>
      <c r="D18" s="6" t="s">
        <v>253</v>
      </c>
      <c r="E18" s="6" t="s">
        <v>519</v>
      </c>
      <c r="F18" s="11" t="s">
        <v>520</v>
      </c>
      <c r="G18" s="10" t="n">
        <v>13715</v>
      </c>
      <c r="H18" s="9" t="s">
        <v>521</v>
      </c>
      <c r="I18" s="6" t="s">
        <v>442</v>
      </c>
      <c r="J18" s="6"/>
      <c r="K18" s="6" t="s">
        <v>442</v>
      </c>
      <c r="L18" s="6" t="s">
        <v>522</v>
      </c>
      <c r="M18" s="9" t="s">
        <v>444</v>
      </c>
      <c r="N18" s="9" t="s">
        <v>523</v>
      </c>
      <c r="O18" s="12" t="s">
        <v>524</v>
      </c>
    </row>
    <row r="19" customFormat="false" ht="23.85" hidden="false" customHeight="false" outlineLevel="0" collapsed="false">
      <c r="A19" s="6" t="s">
        <v>368</v>
      </c>
      <c r="B19" s="9" t="s">
        <v>369</v>
      </c>
      <c r="C19" s="9" t="s">
        <v>52</v>
      </c>
      <c r="D19" s="6" t="s">
        <v>109</v>
      </c>
      <c r="E19" s="6" t="s">
        <v>525</v>
      </c>
      <c r="F19" s="6" t="s">
        <v>526</v>
      </c>
      <c r="G19" s="10" t="n">
        <v>11399.1</v>
      </c>
      <c r="H19" s="9" t="s">
        <v>527</v>
      </c>
      <c r="I19" s="6" t="s">
        <v>450</v>
      </c>
      <c r="J19" s="6"/>
      <c r="K19" s="6" t="s">
        <v>450</v>
      </c>
      <c r="L19" s="6" t="s">
        <v>505</v>
      </c>
      <c r="M19" s="9" t="s">
        <v>444</v>
      </c>
      <c r="N19" s="9" t="s">
        <v>528</v>
      </c>
      <c r="O19" s="12" t="s">
        <v>529</v>
      </c>
    </row>
    <row r="20" customFormat="false" ht="28.35" hidden="false" customHeight="false" outlineLevel="0" collapsed="false">
      <c r="A20" s="6" t="s">
        <v>222</v>
      </c>
      <c r="B20" s="9" t="s">
        <v>223</v>
      </c>
      <c r="C20" s="9" t="s">
        <v>52</v>
      </c>
      <c r="D20" s="6" t="s">
        <v>145</v>
      </c>
      <c r="E20" s="6" t="s">
        <v>530</v>
      </c>
      <c r="F20" s="11" t="s">
        <v>531</v>
      </c>
      <c r="G20" s="10" t="n">
        <v>9528.8</v>
      </c>
      <c r="H20" s="9" t="s">
        <v>532</v>
      </c>
      <c r="I20" s="6" t="s">
        <v>450</v>
      </c>
      <c r="J20" s="6"/>
      <c r="K20" s="6" t="s">
        <v>450</v>
      </c>
      <c r="L20" s="6" t="s">
        <v>533</v>
      </c>
      <c r="M20" s="9" t="s">
        <v>444</v>
      </c>
      <c r="N20" s="9" t="s">
        <v>534</v>
      </c>
      <c r="O20" s="12" t="s">
        <v>535</v>
      </c>
    </row>
    <row r="21" customFormat="false" ht="28.35" hidden="false" customHeight="false" outlineLevel="0" collapsed="false">
      <c r="A21" s="9" t="s">
        <v>280</v>
      </c>
      <c r="B21" s="9" t="s">
        <v>281</v>
      </c>
      <c r="C21" s="9" t="s">
        <v>52</v>
      </c>
      <c r="D21" s="6" t="s">
        <v>75</v>
      </c>
      <c r="E21" s="6" t="s">
        <v>536</v>
      </c>
      <c r="F21" s="11" t="s">
        <v>537</v>
      </c>
      <c r="G21" s="10" t="n">
        <v>7518.5</v>
      </c>
      <c r="H21" s="9" t="s">
        <v>538</v>
      </c>
      <c r="I21" s="6" t="s">
        <v>450</v>
      </c>
      <c r="J21" s="6"/>
      <c r="K21" s="6" t="s">
        <v>450</v>
      </c>
      <c r="L21" s="6" t="s">
        <v>539</v>
      </c>
      <c r="M21" s="9" t="s">
        <v>444</v>
      </c>
      <c r="N21" s="9" t="s">
        <v>540</v>
      </c>
      <c r="O21" s="12" t="s">
        <v>541</v>
      </c>
    </row>
    <row r="22" customFormat="false" ht="23.85" hidden="false" customHeight="false" outlineLevel="0" collapsed="false">
      <c r="A22" s="6" t="s">
        <v>331</v>
      </c>
      <c r="B22" s="9" t="s">
        <v>332</v>
      </c>
      <c r="C22" s="9" t="s">
        <v>52</v>
      </c>
      <c r="D22" s="6" t="s">
        <v>334</v>
      </c>
      <c r="E22" s="6" t="s">
        <v>542</v>
      </c>
      <c r="F22" s="6" t="s">
        <v>543</v>
      </c>
      <c r="G22" s="10" t="n">
        <v>6211.6</v>
      </c>
      <c r="H22" s="9" t="s">
        <v>544</v>
      </c>
      <c r="I22" s="6" t="s">
        <v>442</v>
      </c>
      <c r="J22" s="6"/>
      <c r="K22" s="6" t="s">
        <v>442</v>
      </c>
      <c r="L22" s="6" t="s">
        <v>545</v>
      </c>
      <c r="M22" s="9" t="s">
        <v>444</v>
      </c>
      <c r="N22" s="9" t="s">
        <v>546</v>
      </c>
      <c r="O22" s="12" t="s">
        <v>547</v>
      </c>
    </row>
    <row r="23" customFormat="false" ht="28.35" hidden="false" customHeight="false" outlineLevel="0" collapsed="false">
      <c r="A23" s="6" t="s">
        <v>247</v>
      </c>
      <c r="B23" s="9" t="s">
        <v>248</v>
      </c>
      <c r="C23" s="9" t="s">
        <v>52</v>
      </c>
      <c r="D23" s="6" t="s">
        <v>109</v>
      </c>
      <c r="E23" s="6" t="s">
        <v>548</v>
      </c>
      <c r="F23" s="11" t="s">
        <v>549</v>
      </c>
      <c r="G23" s="10" t="n">
        <v>6084.3</v>
      </c>
      <c r="H23" s="9" t="s">
        <v>550</v>
      </c>
      <c r="I23" s="6" t="s">
        <v>450</v>
      </c>
      <c r="J23" s="6"/>
      <c r="K23" s="6" t="s">
        <v>450</v>
      </c>
      <c r="L23" s="6" t="s">
        <v>551</v>
      </c>
      <c r="M23" s="9" t="s">
        <v>444</v>
      </c>
      <c r="N23" s="9" t="s">
        <v>552</v>
      </c>
      <c r="O23" s="12" t="s">
        <v>553</v>
      </c>
    </row>
    <row r="24" customFormat="false" ht="28.35" hidden="false" customHeight="false" outlineLevel="0" collapsed="false">
      <c r="A24" s="6" t="s">
        <v>185</v>
      </c>
      <c r="B24" s="9" t="s">
        <v>186</v>
      </c>
      <c r="C24" s="9" t="s">
        <v>52</v>
      </c>
      <c r="D24" s="6" t="s">
        <v>188</v>
      </c>
      <c r="E24" s="6" t="s">
        <v>554</v>
      </c>
      <c r="F24" s="11" t="s">
        <v>555</v>
      </c>
      <c r="G24" s="10" t="n">
        <v>5921.4</v>
      </c>
      <c r="H24" s="9" t="s">
        <v>556</v>
      </c>
      <c r="I24" s="6" t="s">
        <v>450</v>
      </c>
      <c r="J24" s="6"/>
      <c r="K24" s="6" t="s">
        <v>450</v>
      </c>
      <c r="L24" s="6" t="s">
        <v>557</v>
      </c>
      <c r="M24" s="9" t="s">
        <v>444</v>
      </c>
      <c r="N24" s="9" t="s">
        <v>558</v>
      </c>
      <c r="O24" s="12" t="s">
        <v>559</v>
      </c>
    </row>
    <row r="25" customFormat="false" ht="28.35" hidden="false" customHeight="false" outlineLevel="0" collapsed="false">
      <c r="A25" s="9" t="s">
        <v>399</v>
      </c>
      <c r="B25" s="9" t="s">
        <v>400</v>
      </c>
      <c r="C25" s="9" t="s">
        <v>52</v>
      </c>
      <c r="D25" s="6" t="s">
        <v>149</v>
      </c>
      <c r="E25" s="6" t="s">
        <v>560</v>
      </c>
      <c r="F25" s="11" t="s">
        <v>561</v>
      </c>
      <c r="G25" s="10" t="n">
        <v>5347</v>
      </c>
      <c r="H25" s="9" t="s">
        <v>562</v>
      </c>
      <c r="I25" s="6" t="s">
        <v>450</v>
      </c>
      <c r="J25" s="6"/>
      <c r="K25" s="6" t="s">
        <v>450</v>
      </c>
      <c r="L25" s="6" t="s">
        <v>563</v>
      </c>
      <c r="M25" s="9" t="s">
        <v>444</v>
      </c>
      <c r="N25" s="9" t="s">
        <v>564</v>
      </c>
      <c r="O25" s="12" t="s">
        <v>565</v>
      </c>
    </row>
    <row r="26" customFormat="false" ht="28.35" hidden="false" customHeight="false" outlineLevel="0" collapsed="false">
      <c r="A26" s="9" t="s">
        <v>371</v>
      </c>
      <c r="B26" s="9" t="s">
        <v>372</v>
      </c>
      <c r="C26" s="9" t="s">
        <v>52</v>
      </c>
      <c r="D26" s="6" t="s">
        <v>149</v>
      </c>
      <c r="E26" s="6" t="s">
        <v>566</v>
      </c>
      <c r="F26" s="11" t="s">
        <v>567</v>
      </c>
      <c r="G26" s="10" t="n">
        <v>5138.9</v>
      </c>
      <c r="H26" s="9" t="s">
        <v>568</v>
      </c>
      <c r="I26" s="6" t="s">
        <v>511</v>
      </c>
      <c r="J26" s="6"/>
      <c r="K26" s="6" t="s">
        <v>511</v>
      </c>
      <c r="L26" s="6" t="s">
        <v>569</v>
      </c>
      <c r="M26" s="9" t="s">
        <v>444</v>
      </c>
      <c r="N26" s="9" t="s">
        <v>570</v>
      </c>
      <c r="O26" s="12" t="s">
        <v>571</v>
      </c>
    </row>
    <row r="27" customFormat="false" ht="28.35" hidden="false" customHeight="false" outlineLevel="0" collapsed="false">
      <c r="A27" s="6" t="s">
        <v>269</v>
      </c>
      <c r="B27" s="9" t="s">
        <v>270</v>
      </c>
      <c r="C27" s="9" t="s">
        <v>64</v>
      </c>
      <c r="D27" s="6" t="s">
        <v>272</v>
      </c>
      <c r="E27" s="6" t="s">
        <v>572</v>
      </c>
      <c r="F27" s="11" t="s">
        <v>573</v>
      </c>
      <c r="G27" s="10" t="n">
        <v>3992.9</v>
      </c>
      <c r="H27" s="9" t="s">
        <v>574</v>
      </c>
      <c r="I27" s="6" t="s">
        <v>442</v>
      </c>
      <c r="J27" s="6"/>
      <c r="K27" s="6" t="s">
        <v>442</v>
      </c>
      <c r="L27" s="6" t="s">
        <v>575</v>
      </c>
      <c r="M27" s="9" t="s">
        <v>444</v>
      </c>
      <c r="N27" s="9" t="s">
        <v>576</v>
      </c>
      <c r="O27" s="12" t="s">
        <v>577</v>
      </c>
    </row>
    <row r="28" customFormat="false" ht="23.85" hidden="false" customHeight="false" outlineLevel="0" collapsed="false">
      <c r="A28" s="6" t="s">
        <v>293</v>
      </c>
      <c r="B28" s="9" t="s">
        <v>294</v>
      </c>
      <c r="C28" s="9" t="s">
        <v>64</v>
      </c>
      <c r="D28" s="6" t="s">
        <v>137</v>
      </c>
      <c r="E28" s="6" t="s">
        <v>578</v>
      </c>
      <c r="F28" s="6" t="s">
        <v>579</v>
      </c>
      <c r="G28" s="10" t="n">
        <v>3283.1</v>
      </c>
      <c r="H28" s="9" t="s">
        <v>580</v>
      </c>
      <c r="I28" s="6" t="s">
        <v>442</v>
      </c>
      <c r="J28" s="6"/>
      <c r="K28" s="6" t="s">
        <v>442</v>
      </c>
      <c r="L28" s="6" t="s">
        <v>581</v>
      </c>
      <c r="M28" s="9" t="s">
        <v>444</v>
      </c>
      <c r="N28" s="9" t="s">
        <v>582</v>
      </c>
      <c r="O28" s="12" t="s">
        <v>583</v>
      </c>
    </row>
    <row r="29" customFormat="false" ht="23.85" hidden="false" customHeight="false" outlineLevel="0" collapsed="false">
      <c r="A29" s="6" t="s">
        <v>61</v>
      </c>
      <c r="B29" s="9" t="s">
        <v>62</v>
      </c>
      <c r="C29" s="9" t="s">
        <v>64</v>
      </c>
      <c r="D29" s="6" t="s">
        <v>65</v>
      </c>
      <c r="E29" s="6" t="s">
        <v>584</v>
      </c>
      <c r="F29" s="6" t="s">
        <v>585</v>
      </c>
      <c r="G29" s="10" t="n">
        <v>3131.2</v>
      </c>
      <c r="H29" s="9" t="s">
        <v>586</v>
      </c>
      <c r="I29" s="6" t="s">
        <v>450</v>
      </c>
      <c r="J29" s="6"/>
      <c r="K29" s="6" t="s">
        <v>450</v>
      </c>
      <c r="L29" s="6" t="s">
        <v>587</v>
      </c>
      <c r="M29" s="9" t="s">
        <v>444</v>
      </c>
      <c r="N29" s="9" t="s">
        <v>588</v>
      </c>
      <c r="O29" s="12" t="s">
        <v>589</v>
      </c>
    </row>
    <row r="30" customFormat="false" ht="23.85" hidden="false" customHeight="false" outlineLevel="0" collapsed="false">
      <c r="A30" s="6" t="s">
        <v>390</v>
      </c>
      <c r="B30" s="9" t="s">
        <v>391</v>
      </c>
      <c r="C30" s="9" t="s">
        <v>52</v>
      </c>
      <c r="D30" s="6" t="s">
        <v>393</v>
      </c>
      <c r="E30" s="6" t="s">
        <v>590</v>
      </c>
      <c r="F30" s="6" t="s">
        <v>591</v>
      </c>
      <c r="G30" s="10" t="n">
        <v>2991.9</v>
      </c>
      <c r="H30" s="9" t="s">
        <v>592</v>
      </c>
      <c r="I30" s="6" t="s">
        <v>442</v>
      </c>
      <c r="J30" s="6"/>
      <c r="K30" s="6" t="s">
        <v>442</v>
      </c>
      <c r="L30" s="6" t="s">
        <v>593</v>
      </c>
      <c r="M30" s="9" t="s">
        <v>444</v>
      </c>
      <c r="N30" s="9" t="s">
        <v>594</v>
      </c>
      <c r="O30" s="12" t="s">
        <v>595</v>
      </c>
    </row>
    <row r="31" customFormat="false" ht="23.85" hidden="false" customHeight="false" outlineLevel="0" collapsed="false">
      <c r="A31" s="6" t="s">
        <v>423</v>
      </c>
      <c r="B31" s="9" t="s">
        <v>424</v>
      </c>
      <c r="C31" s="9" t="s">
        <v>52</v>
      </c>
      <c r="D31" s="6" t="s">
        <v>65</v>
      </c>
      <c r="E31" s="6" t="s">
        <v>596</v>
      </c>
      <c r="F31" s="6" t="s">
        <v>597</v>
      </c>
      <c r="G31" s="10" t="n">
        <v>2743.6</v>
      </c>
      <c r="H31" s="9" t="s">
        <v>598</v>
      </c>
      <c r="I31" s="6" t="s">
        <v>442</v>
      </c>
      <c r="J31" s="6"/>
      <c r="K31" s="6" t="s">
        <v>442</v>
      </c>
      <c r="L31" s="6" t="s">
        <v>599</v>
      </c>
      <c r="M31" s="9" t="s">
        <v>444</v>
      </c>
      <c r="N31" s="9" t="s">
        <v>600</v>
      </c>
      <c r="O31" s="12" t="s">
        <v>601</v>
      </c>
    </row>
    <row r="32" customFormat="false" ht="28.35" hidden="false" customHeight="false" outlineLevel="0" collapsed="false">
      <c r="A32" s="9" t="s">
        <v>273</v>
      </c>
      <c r="B32" s="9" t="s">
        <v>274</v>
      </c>
      <c r="C32" s="9" t="s">
        <v>52</v>
      </c>
      <c r="D32" s="6" t="s">
        <v>109</v>
      </c>
      <c r="E32" s="6" t="s">
        <v>602</v>
      </c>
      <c r="F32" s="11" t="s">
        <v>603</v>
      </c>
      <c r="G32" s="10" t="n">
        <v>2683.1</v>
      </c>
      <c r="H32" s="9" t="s">
        <v>604</v>
      </c>
      <c r="I32" s="6" t="s">
        <v>442</v>
      </c>
      <c r="J32" s="6"/>
      <c r="K32" s="6" t="s">
        <v>442</v>
      </c>
      <c r="L32" s="6" t="s">
        <v>605</v>
      </c>
      <c r="M32" s="9" t="s">
        <v>444</v>
      </c>
      <c r="N32" s="9" t="s">
        <v>606</v>
      </c>
      <c r="O32" s="12" t="s">
        <v>607</v>
      </c>
    </row>
    <row r="33" customFormat="false" ht="23.85" hidden="false" customHeight="false" outlineLevel="0" collapsed="false">
      <c r="A33" s="9" t="s">
        <v>407</v>
      </c>
      <c r="B33" s="9" t="s">
        <v>408</v>
      </c>
      <c r="C33" s="9" t="s">
        <v>52</v>
      </c>
      <c r="D33" s="6" t="s">
        <v>410</v>
      </c>
      <c r="E33" s="6" t="s">
        <v>608</v>
      </c>
      <c r="F33" s="6" t="s">
        <v>609</v>
      </c>
      <c r="G33" s="10" t="n">
        <v>2303.5</v>
      </c>
      <c r="H33" s="9" t="s">
        <v>610</v>
      </c>
      <c r="I33" s="6" t="s">
        <v>450</v>
      </c>
      <c r="J33" s="6"/>
      <c r="K33" s="6" t="s">
        <v>450</v>
      </c>
      <c r="L33" s="6" t="s">
        <v>611</v>
      </c>
      <c r="M33" s="9" t="s">
        <v>444</v>
      </c>
      <c r="N33" s="9" t="s">
        <v>612</v>
      </c>
      <c r="O33" s="12" t="s">
        <v>613</v>
      </c>
    </row>
    <row r="34" customFormat="false" ht="28.35" hidden="false" customHeight="false" outlineLevel="0" collapsed="false">
      <c r="A34" s="6" t="s">
        <v>304</v>
      </c>
      <c r="B34" s="9" t="s">
        <v>305</v>
      </c>
      <c r="C34" s="9" t="s">
        <v>64</v>
      </c>
      <c r="D34" s="6" t="s">
        <v>88</v>
      </c>
      <c r="E34" s="6" t="s">
        <v>614</v>
      </c>
      <c r="F34" s="11" t="s">
        <v>615</v>
      </c>
      <c r="G34" s="10" t="n">
        <v>2273.8</v>
      </c>
      <c r="H34" s="9" t="s">
        <v>616</v>
      </c>
      <c r="I34" s="6" t="s">
        <v>442</v>
      </c>
      <c r="J34" s="6"/>
      <c r="K34" s="6" t="s">
        <v>442</v>
      </c>
      <c r="L34" s="6" t="s">
        <v>617</v>
      </c>
      <c r="M34" s="9" t="s">
        <v>444</v>
      </c>
      <c r="N34" s="9" t="s">
        <v>618</v>
      </c>
      <c r="O34" s="12" t="s">
        <v>619</v>
      </c>
    </row>
    <row r="35" customFormat="false" ht="23.85" hidden="false" customHeight="false" outlineLevel="0" collapsed="false">
      <c r="A35" s="6" t="s">
        <v>359</v>
      </c>
      <c r="B35" s="9" t="s">
        <v>360</v>
      </c>
      <c r="C35" s="9" t="s">
        <v>64</v>
      </c>
      <c r="D35" s="6" t="s">
        <v>65</v>
      </c>
      <c r="E35" s="6" t="s">
        <v>620</v>
      </c>
      <c r="F35" s="6" t="s">
        <v>621</v>
      </c>
      <c r="G35" s="10" t="n">
        <v>2187</v>
      </c>
      <c r="H35" s="9" t="s">
        <v>622</v>
      </c>
      <c r="I35" s="6" t="s">
        <v>442</v>
      </c>
      <c r="J35" s="6"/>
      <c r="K35" s="6" t="s">
        <v>442</v>
      </c>
      <c r="L35" s="6" t="s">
        <v>623</v>
      </c>
      <c r="M35" s="9" t="s">
        <v>444</v>
      </c>
      <c r="N35" s="9" t="s">
        <v>624</v>
      </c>
      <c r="O35" s="12" t="s">
        <v>625</v>
      </c>
    </row>
    <row r="36" customFormat="false" ht="28.35" hidden="false" customHeight="false" outlineLevel="0" collapsed="false">
      <c r="A36" s="6" t="s">
        <v>266</v>
      </c>
      <c r="B36" s="9" t="s">
        <v>267</v>
      </c>
      <c r="C36" s="9" t="s">
        <v>52</v>
      </c>
      <c r="D36" s="6" t="s">
        <v>99</v>
      </c>
      <c r="E36" s="6" t="s">
        <v>626</v>
      </c>
      <c r="F36" s="11" t="s">
        <v>627</v>
      </c>
      <c r="G36" s="10" t="n">
        <v>2182.5</v>
      </c>
      <c r="H36" s="9" t="s">
        <v>628</v>
      </c>
      <c r="I36" s="6" t="s">
        <v>442</v>
      </c>
      <c r="J36" s="6"/>
      <c r="K36" s="6" t="s">
        <v>442</v>
      </c>
      <c r="L36" s="6" t="s">
        <v>629</v>
      </c>
      <c r="M36" s="9" t="s">
        <v>444</v>
      </c>
      <c r="N36" s="9" t="s">
        <v>630</v>
      </c>
      <c r="O36" s="12" t="s">
        <v>631</v>
      </c>
    </row>
    <row r="37" customFormat="false" ht="23.85" hidden="false" customHeight="false" outlineLevel="0" collapsed="false">
      <c r="A37" s="6" t="s">
        <v>315</v>
      </c>
      <c r="B37" s="9" t="s">
        <v>316</v>
      </c>
      <c r="C37" s="9" t="s">
        <v>64</v>
      </c>
      <c r="D37" s="6" t="s">
        <v>318</v>
      </c>
      <c r="E37" s="6" t="s">
        <v>632</v>
      </c>
      <c r="F37" s="6" t="s">
        <v>633</v>
      </c>
      <c r="G37" s="10" t="n">
        <v>1805.1</v>
      </c>
      <c r="H37" s="9" t="s">
        <v>634</v>
      </c>
      <c r="I37" s="6" t="s">
        <v>442</v>
      </c>
      <c r="J37" s="6"/>
      <c r="K37" s="6" t="s">
        <v>442</v>
      </c>
      <c r="L37" s="6" t="s">
        <v>635</v>
      </c>
      <c r="M37" s="9" t="s">
        <v>444</v>
      </c>
      <c r="N37" s="9" t="s">
        <v>636</v>
      </c>
      <c r="O37" s="12" t="s">
        <v>637</v>
      </c>
    </row>
    <row r="38" customFormat="false" ht="28.35" hidden="false" customHeight="false" outlineLevel="0" collapsed="false">
      <c r="A38" s="6" t="s">
        <v>335</v>
      </c>
      <c r="B38" s="9" t="s">
        <v>336</v>
      </c>
      <c r="C38" s="9" t="s">
        <v>64</v>
      </c>
      <c r="D38" s="6" t="s">
        <v>88</v>
      </c>
      <c r="E38" s="6" t="s">
        <v>638</v>
      </c>
      <c r="F38" s="11" t="s">
        <v>639</v>
      </c>
      <c r="G38" s="10" t="n">
        <v>1776.6</v>
      </c>
      <c r="H38" s="9" t="s">
        <v>640</v>
      </c>
      <c r="I38" s="6" t="s">
        <v>511</v>
      </c>
      <c r="J38" s="6"/>
      <c r="K38" s="6" t="s">
        <v>511</v>
      </c>
      <c r="L38" s="6" t="s">
        <v>641</v>
      </c>
      <c r="M38" s="9" t="s">
        <v>444</v>
      </c>
      <c r="N38" s="9" t="s">
        <v>642</v>
      </c>
      <c r="O38" s="12" t="s">
        <v>643</v>
      </c>
    </row>
    <row r="39" customFormat="false" ht="28.35" hidden="false" customHeight="false" outlineLevel="0" collapsed="false">
      <c r="A39" s="6" t="s">
        <v>193</v>
      </c>
      <c r="B39" s="9" t="s">
        <v>194</v>
      </c>
      <c r="C39" s="9" t="s">
        <v>52</v>
      </c>
      <c r="D39" s="6" t="s">
        <v>137</v>
      </c>
      <c r="E39" s="6" t="s">
        <v>644</v>
      </c>
      <c r="F39" s="11" t="s">
        <v>645</v>
      </c>
      <c r="G39" s="10" t="n">
        <v>1693.2</v>
      </c>
      <c r="H39" s="9" t="s">
        <v>646</v>
      </c>
      <c r="I39" s="6" t="s">
        <v>442</v>
      </c>
      <c r="J39" s="6"/>
      <c r="K39" s="6" t="s">
        <v>442</v>
      </c>
      <c r="L39" s="6" t="s">
        <v>647</v>
      </c>
      <c r="M39" s="9" t="s">
        <v>444</v>
      </c>
      <c r="N39" s="9" t="s">
        <v>648</v>
      </c>
      <c r="O39" s="12" t="s">
        <v>649</v>
      </c>
    </row>
    <row r="40" customFormat="false" ht="23.85" hidden="false" customHeight="false" outlineLevel="0" collapsed="false">
      <c r="A40" s="6" t="s">
        <v>290</v>
      </c>
      <c r="B40" s="9" t="s">
        <v>291</v>
      </c>
      <c r="C40" s="9" t="s">
        <v>52</v>
      </c>
      <c r="D40" s="6" t="s">
        <v>188</v>
      </c>
      <c r="E40" s="6" t="s">
        <v>650</v>
      </c>
      <c r="F40" s="6" t="s">
        <v>651</v>
      </c>
      <c r="G40" s="10" t="n">
        <v>1351.4</v>
      </c>
      <c r="H40" s="9" t="s">
        <v>652</v>
      </c>
      <c r="I40" s="6" t="s">
        <v>442</v>
      </c>
      <c r="J40" s="6"/>
      <c r="K40" s="6" t="s">
        <v>442</v>
      </c>
      <c r="L40" s="6" t="s">
        <v>653</v>
      </c>
      <c r="M40" s="9" t="s">
        <v>444</v>
      </c>
      <c r="N40" s="9" t="s">
        <v>654</v>
      </c>
      <c r="O40" s="12" t="s">
        <v>655</v>
      </c>
    </row>
    <row r="41" customFormat="false" ht="23.85" hidden="false" customHeight="false" outlineLevel="0" collapsed="false">
      <c r="A41" s="6" t="s">
        <v>365</v>
      </c>
      <c r="B41" s="9" t="s">
        <v>366</v>
      </c>
      <c r="C41" s="9" t="s">
        <v>64</v>
      </c>
      <c r="D41" s="6" t="s">
        <v>88</v>
      </c>
      <c r="E41" s="6" t="s">
        <v>656</v>
      </c>
      <c r="F41" s="6" t="s">
        <v>657</v>
      </c>
      <c r="G41" s="10" t="n">
        <v>1060.2</v>
      </c>
      <c r="H41" s="9" t="s">
        <v>658</v>
      </c>
      <c r="I41" s="6" t="s">
        <v>442</v>
      </c>
      <c r="J41" s="6"/>
      <c r="K41" s="6" t="s">
        <v>442</v>
      </c>
      <c r="L41" s="6" t="s">
        <v>659</v>
      </c>
      <c r="M41" s="9" t="s">
        <v>444</v>
      </c>
      <c r="N41" s="9" t="s">
        <v>660</v>
      </c>
      <c r="O41" s="12" t="s">
        <v>661</v>
      </c>
    </row>
    <row r="42" customFormat="false" ht="28.35" hidden="false" customHeight="false" outlineLevel="0" collapsed="false">
      <c r="A42" s="6" t="s">
        <v>57</v>
      </c>
      <c r="B42" s="9" t="s">
        <v>58</v>
      </c>
      <c r="C42" s="9" t="s">
        <v>52</v>
      </c>
      <c r="D42" s="6" t="s">
        <v>60</v>
      </c>
      <c r="E42" s="6" t="s">
        <v>662</v>
      </c>
      <c r="F42" s="11" t="s">
        <v>663</v>
      </c>
      <c r="G42" s="10" t="n">
        <v>1048.9</v>
      </c>
      <c r="H42" s="9" t="s">
        <v>664</v>
      </c>
      <c r="I42" s="6" t="s">
        <v>450</v>
      </c>
      <c r="J42" s="6"/>
      <c r="K42" s="6" t="s">
        <v>450</v>
      </c>
      <c r="L42" s="6" t="s">
        <v>665</v>
      </c>
      <c r="M42" s="9" t="s">
        <v>444</v>
      </c>
      <c r="N42" s="9" t="s">
        <v>666</v>
      </c>
      <c r="O42" s="12" t="s">
        <v>667</v>
      </c>
    </row>
    <row r="43" customFormat="false" ht="23.85" hidden="false" customHeight="false" outlineLevel="0" collapsed="false">
      <c r="A43" s="6" t="s">
        <v>67</v>
      </c>
      <c r="B43" s="9" t="s">
        <v>68</v>
      </c>
      <c r="C43" s="9" t="s">
        <v>64</v>
      </c>
      <c r="D43" s="6" t="s">
        <v>70</v>
      </c>
      <c r="E43" s="6" t="s">
        <v>668</v>
      </c>
      <c r="F43" s="6" t="s">
        <v>669</v>
      </c>
      <c r="G43" s="10" t="n">
        <v>935.6</v>
      </c>
      <c r="H43" s="9" t="s">
        <v>670</v>
      </c>
      <c r="I43" s="6" t="s">
        <v>442</v>
      </c>
      <c r="J43" s="6"/>
      <c r="K43" s="6" t="s">
        <v>442</v>
      </c>
      <c r="L43" s="6" t="s">
        <v>671</v>
      </c>
      <c r="M43" s="9" t="s">
        <v>444</v>
      </c>
      <c r="N43" s="9" t="s">
        <v>672</v>
      </c>
      <c r="O43" s="12" t="s">
        <v>673</v>
      </c>
    </row>
    <row r="44" customFormat="false" ht="28.35" hidden="false" customHeight="false" outlineLevel="0" collapsed="false">
      <c r="A44" s="6" t="s">
        <v>243</v>
      </c>
      <c r="B44" s="9" t="s">
        <v>244</v>
      </c>
      <c r="C44" s="9" t="s">
        <v>52</v>
      </c>
      <c r="D44" s="6" t="s">
        <v>246</v>
      </c>
      <c r="E44" s="6" t="s">
        <v>674</v>
      </c>
      <c r="F44" s="11" t="s">
        <v>675</v>
      </c>
      <c r="G44" s="10" t="n">
        <v>904.5</v>
      </c>
      <c r="H44" s="9" t="s">
        <v>676</v>
      </c>
      <c r="I44" s="6" t="s">
        <v>442</v>
      </c>
      <c r="J44" s="6"/>
      <c r="K44" s="6" t="s">
        <v>442</v>
      </c>
      <c r="L44" s="6" t="s">
        <v>677</v>
      </c>
      <c r="M44" s="9" t="s">
        <v>444</v>
      </c>
      <c r="N44" s="9" t="s">
        <v>678</v>
      </c>
      <c r="O44" s="12" t="s">
        <v>679</v>
      </c>
    </row>
    <row r="45" customFormat="false" ht="28.35" hidden="false" customHeight="false" outlineLevel="0" collapsed="false">
      <c r="A45" s="6" t="s">
        <v>377</v>
      </c>
      <c r="B45" s="9" t="s">
        <v>378</v>
      </c>
      <c r="C45" s="9" t="s">
        <v>52</v>
      </c>
      <c r="D45" s="6" t="s">
        <v>132</v>
      </c>
      <c r="E45" s="6" t="s">
        <v>680</v>
      </c>
      <c r="F45" s="11" t="s">
        <v>681</v>
      </c>
      <c r="G45" s="10" t="n">
        <v>763.3</v>
      </c>
      <c r="H45" s="9" t="s">
        <v>682</v>
      </c>
      <c r="I45" s="6" t="s">
        <v>450</v>
      </c>
      <c r="J45" s="6"/>
      <c r="K45" s="6" t="s">
        <v>450</v>
      </c>
      <c r="L45" s="6" t="s">
        <v>683</v>
      </c>
      <c r="M45" s="9" t="s">
        <v>444</v>
      </c>
      <c r="N45" s="9" t="s">
        <v>684</v>
      </c>
      <c r="O45" s="12" t="s">
        <v>685</v>
      </c>
    </row>
    <row r="46" customFormat="false" ht="23.85" hidden="false" customHeight="false" outlineLevel="0" collapsed="false">
      <c r="A46" s="6" t="s">
        <v>384</v>
      </c>
      <c r="B46" s="9" t="s">
        <v>385</v>
      </c>
      <c r="C46" s="9" t="s">
        <v>64</v>
      </c>
      <c r="D46" s="6" t="s">
        <v>99</v>
      </c>
      <c r="E46" s="6" t="s">
        <v>686</v>
      </c>
      <c r="F46" s="6" t="s">
        <v>687</v>
      </c>
      <c r="G46" s="10" t="n">
        <v>695.4</v>
      </c>
      <c r="H46" s="9" t="s">
        <v>688</v>
      </c>
      <c r="I46" s="6" t="s">
        <v>450</v>
      </c>
      <c r="J46" s="6"/>
      <c r="K46" s="6" t="s">
        <v>450</v>
      </c>
      <c r="L46" s="6" t="s">
        <v>689</v>
      </c>
      <c r="M46" s="9" t="s">
        <v>444</v>
      </c>
      <c r="N46" s="9" t="s">
        <v>690</v>
      </c>
      <c r="O46" s="12" t="s">
        <v>691</v>
      </c>
    </row>
    <row r="47" customFormat="false" ht="27.6" hidden="false" customHeight="false" outlineLevel="0" collapsed="false">
      <c r="A47" s="6" t="s">
        <v>380</v>
      </c>
      <c r="B47" s="9" t="s">
        <v>381</v>
      </c>
      <c r="C47" s="9" t="s">
        <v>64</v>
      </c>
      <c r="D47" s="6" t="s">
        <v>88</v>
      </c>
      <c r="E47" s="6" t="s">
        <v>692</v>
      </c>
      <c r="F47" s="11" t="s">
        <v>693</v>
      </c>
      <c r="G47" s="10" t="n">
        <v>690.8</v>
      </c>
      <c r="H47" s="9" t="s">
        <v>694</v>
      </c>
      <c r="I47" s="6" t="s">
        <v>442</v>
      </c>
      <c r="J47" s="6"/>
      <c r="K47" s="6" t="s">
        <v>442</v>
      </c>
      <c r="L47" s="6" t="s">
        <v>695</v>
      </c>
      <c r="M47" s="9" t="s">
        <v>444</v>
      </c>
      <c r="N47" s="9" t="s">
        <v>696</v>
      </c>
      <c r="O47" s="12" t="s">
        <v>697</v>
      </c>
    </row>
    <row r="48" customFormat="false" ht="27.6" hidden="false" customHeight="false" outlineLevel="0" collapsed="false">
      <c r="A48" s="6" t="s">
        <v>345</v>
      </c>
      <c r="B48" s="9" t="s">
        <v>346</v>
      </c>
      <c r="C48" s="9" t="s">
        <v>52</v>
      </c>
      <c r="D48" s="6" t="s">
        <v>93</v>
      </c>
      <c r="E48" s="6" t="s">
        <v>698</v>
      </c>
      <c r="F48" s="11" t="s">
        <v>699</v>
      </c>
      <c r="G48" s="10" t="n">
        <v>634.5</v>
      </c>
      <c r="H48" s="9" t="s">
        <v>700</v>
      </c>
      <c r="I48" s="6" t="s">
        <v>450</v>
      </c>
      <c r="J48" s="6"/>
      <c r="K48" s="6" t="s">
        <v>450</v>
      </c>
      <c r="L48" s="6" t="s">
        <v>701</v>
      </c>
      <c r="M48" s="9" t="s">
        <v>444</v>
      </c>
      <c r="N48" s="9" t="s">
        <v>702</v>
      </c>
      <c r="O48" s="12" t="s">
        <v>703</v>
      </c>
    </row>
    <row r="49" customFormat="false" ht="23.85" hidden="false" customHeight="false" outlineLevel="0" collapsed="false">
      <c r="A49" s="6" t="s">
        <v>138</v>
      </c>
      <c r="B49" s="9" t="s">
        <v>139</v>
      </c>
      <c r="C49" s="9" t="s">
        <v>52</v>
      </c>
      <c r="D49" s="6" t="s">
        <v>120</v>
      </c>
      <c r="E49" s="6" t="s">
        <v>704</v>
      </c>
      <c r="F49" s="6" t="s">
        <v>705</v>
      </c>
      <c r="G49" s="10" t="n">
        <v>604.7</v>
      </c>
      <c r="H49" s="9" t="s">
        <v>706</v>
      </c>
      <c r="I49" s="6" t="s">
        <v>442</v>
      </c>
      <c r="J49" s="6"/>
      <c r="K49" s="6" t="s">
        <v>442</v>
      </c>
      <c r="L49" s="6" t="s">
        <v>707</v>
      </c>
      <c r="M49" s="9" t="s">
        <v>444</v>
      </c>
      <c r="N49" s="9" t="s">
        <v>708</v>
      </c>
      <c r="O49" s="12" t="s">
        <v>709</v>
      </c>
    </row>
    <row r="50" customFormat="false" ht="28.35" hidden="false" customHeight="false" outlineLevel="0" collapsed="false">
      <c r="A50" s="6" t="s">
        <v>204</v>
      </c>
      <c r="B50" s="9" t="s">
        <v>205</v>
      </c>
      <c r="C50" s="9" t="s">
        <v>52</v>
      </c>
      <c r="D50" s="6" t="s">
        <v>207</v>
      </c>
      <c r="E50" s="6" t="s">
        <v>710</v>
      </c>
      <c r="F50" s="11" t="s">
        <v>711</v>
      </c>
      <c r="G50" s="10" t="n">
        <v>562</v>
      </c>
      <c r="H50" s="9" t="s">
        <v>712</v>
      </c>
      <c r="I50" s="6" t="s">
        <v>450</v>
      </c>
      <c r="J50" s="6"/>
      <c r="K50" s="6" t="s">
        <v>450</v>
      </c>
      <c r="L50" s="6" t="s">
        <v>713</v>
      </c>
      <c r="M50" s="9" t="s">
        <v>444</v>
      </c>
      <c r="N50" s="9" t="s">
        <v>714</v>
      </c>
      <c r="O50" s="12" t="s">
        <v>715</v>
      </c>
    </row>
    <row r="51" customFormat="false" ht="23.85" hidden="false" customHeight="false" outlineLevel="0" collapsed="false">
      <c r="A51" s="6" t="s">
        <v>322</v>
      </c>
      <c r="B51" s="9" t="s">
        <v>323</v>
      </c>
      <c r="C51" s="9" t="s">
        <v>64</v>
      </c>
      <c r="D51" s="6" t="s">
        <v>272</v>
      </c>
      <c r="E51" s="6" t="s">
        <v>716</v>
      </c>
      <c r="F51" s="6" t="s">
        <v>717</v>
      </c>
      <c r="G51" s="10" t="n">
        <v>485.7</v>
      </c>
      <c r="H51" s="9" t="s">
        <v>718</v>
      </c>
      <c r="I51" s="6" t="s">
        <v>442</v>
      </c>
      <c r="J51" s="6"/>
      <c r="K51" s="6" t="s">
        <v>442</v>
      </c>
      <c r="L51" s="6" t="s">
        <v>719</v>
      </c>
      <c r="M51" s="9" t="s">
        <v>444</v>
      </c>
      <c r="N51" s="9" t="s">
        <v>720</v>
      </c>
      <c r="O51" s="12" t="s">
        <v>721</v>
      </c>
    </row>
    <row r="52" customFormat="false" ht="28.35" hidden="false" customHeight="false" outlineLevel="0" collapsed="false">
      <c r="A52" s="6" t="s">
        <v>338</v>
      </c>
      <c r="B52" s="9" t="s">
        <v>339</v>
      </c>
      <c r="C52" s="9" t="s">
        <v>52</v>
      </c>
      <c r="D52" s="6" t="s">
        <v>167</v>
      </c>
      <c r="E52" s="6" t="s">
        <v>722</v>
      </c>
      <c r="F52" s="11" t="s">
        <v>723</v>
      </c>
      <c r="G52" s="10" t="n">
        <v>444.5</v>
      </c>
      <c r="H52" s="9" t="s">
        <v>724</v>
      </c>
      <c r="I52" s="6" t="s">
        <v>442</v>
      </c>
      <c r="J52" s="6"/>
      <c r="K52" s="6" t="s">
        <v>442</v>
      </c>
      <c r="L52" s="6" t="s">
        <v>725</v>
      </c>
      <c r="M52" s="9" t="s">
        <v>444</v>
      </c>
      <c r="N52" s="9" t="s">
        <v>726</v>
      </c>
      <c r="O52" s="12" t="s">
        <v>727</v>
      </c>
    </row>
    <row r="53" customFormat="false" ht="23.85" hidden="false" customHeight="false" outlineLevel="0" collapsed="false">
      <c r="A53" s="6" t="s">
        <v>239</v>
      </c>
      <c r="B53" s="9" t="s">
        <v>240</v>
      </c>
      <c r="C53" s="9" t="s">
        <v>64</v>
      </c>
      <c r="D53" s="6" t="s">
        <v>242</v>
      </c>
      <c r="E53" s="6" t="s">
        <v>728</v>
      </c>
      <c r="F53" s="6" t="s">
        <v>729</v>
      </c>
      <c r="G53" s="10" t="n">
        <v>443.2</v>
      </c>
      <c r="H53" s="9" t="s">
        <v>730</v>
      </c>
      <c r="I53" s="6" t="s">
        <v>442</v>
      </c>
      <c r="J53" s="6"/>
      <c r="K53" s="6" t="s">
        <v>442</v>
      </c>
      <c r="L53" s="6" t="s">
        <v>731</v>
      </c>
      <c r="M53" s="9" t="s">
        <v>444</v>
      </c>
      <c r="N53" s="9" t="s">
        <v>732</v>
      </c>
      <c r="O53" s="12" t="s">
        <v>733</v>
      </c>
    </row>
    <row r="54" customFormat="false" ht="28.35" hidden="false" customHeight="false" outlineLevel="0" collapsed="false">
      <c r="A54" s="6" t="s">
        <v>283</v>
      </c>
      <c r="B54" s="9" t="s">
        <v>284</v>
      </c>
      <c r="C54" s="9" t="s">
        <v>64</v>
      </c>
      <c r="D54" s="6" t="s">
        <v>99</v>
      </c>
      <c r="E54" s="6" t="s">
        <v>734</v>
      </c>
      <c r="F54" s="11" t="s">
        <v>735</v>
      </c>
      <c r="G54" s="10" t="n">
        <v>429.3</v>
      </c>
      <c r="H54" s="9" t="s">
        <v>736</v>
      </c>
      <c r="I54" s="6" t="s">
        <v>450</v>
      </c>
      <c r="J54" s="6"/>
      <c r="K54" s="6" t="s">
        <v>450</v>
      </c>
      <c r="L54" s="6" t="s">
        <v>737</v>
      </c>
      <c r="M54" s="9" t="s">
        <v>444</v>
      </c>
      <c r="N54" s="9" t="s">
        <v>738</v>
      </c>
      <c r="O54" s="12" t="s">
        <v>739</v>
      </c>
    </row>
    <row r="55" customFormat="false" ht="23.85" hidden="false" customHeight="false" outlineLevel="0" collapsed="false">
      <c r="A55" s="6" t="s">
        <v>153</v>
      </c>
      <c r="B55" s="9" t="s">
        <v>154</v>
      </c>
      <c r="C55" s="9" t="s">
        <v>52</v>
      </c>
      <c r="D55" s="6" t="s">
        <v>149</v>
      </c>
      <c r="E55" s="6" t="s">
        <v>740</v>
      </c>
      <c r="F55" s="6" t="s">
        <v>741</v>
      </c>
      <c r="G55" s="10" t="n">
        <v>315.9</v>
      </c>
      <c r="H55" s="9" t="s">
        <v>742</v>
      </c>
      <c r="I55" s="6" t="s">
        <v>442</v>
      </c>
      <c r="J55" s="6"/>
      <c r="K55" s="6" t="s">
        <v>442</v>
      </c>
      <c r="L55" s="6" t="s">
        <v>743</v>
      </c>
      <c r="M55" s="9" t="s">
        <v>444</v>
      </c>
      <c r="N55" s="9" t="s">
        <v>744</v>
      </c>
      <c r="O55" s="12" t="s">
        <v>745</v>
      </c>
    </row>
    <row r="56" customFormat="false" ht="23.85" hidden="false" customHeight="false" outlineLevel="0" collapsed="false">
      <c r="A56" s="6" t="s">
        <v>308</v>
      </c>
      <c r="B56" s="9" t="s">
        <v>309</v>
      </c>
      <c r="C56" s="9" t="s">
        <v>52</v>
      </c>
      <c r="D56" s="6" t="s">
        <v>109</v>
      </c>
      <c r="E56" s="6" t="s">
        <v>746</v>
      </c>
      <c r="F56" s="6" t="s">
        <v>747</v>
      </c>
      <c r="G56" s="10" t="n">
        <v>291.9</v>
      </c>
      <c r="H56" s="9" t="s">
        <v>748</v>
      </c>
      <c r="I56" s="6" t="s">
        <v>442</v>
      </c>
      <c r="J56" s="6"/>
      <c r="K56" s="6" t="s">
        <v>442</v>
      </c>
      <c r="L56" s="6" t="s">
        <v>749</v>
      </c>
      <c r="M56" s="9" t="s">
        <v>444</v>
      </c>
      <c r="N56" s="9" t="s">
        <v>750</v>
      </c>
      <c r="O56" s="12" t="s">
        <v>751</v>
      </c>
    </row>
    <row r="57" customFormat="false" ht="23.85" hidden="false" customHeight="false" outlineLevel="0" collapsed="false">
      <c r="A57" s="6" t="s">
        <v>142</v>
      </c>
      <c r="B57" s="9" t="s">
        <v>143</v>
      </c>
      <c r="C57" s="9" t="s">
        <v>52</v>
      </c>
      <c r="D57" s="6" t="s">
        <v>145</v>
      </c>
      <c r="E57" s="6" t="s">
        <v>752</v>
      </c>
      <c r="F57" s="6" t="s">
        <v>753</v>
      </c>
      <c r="G57" s="10" t="n">
        <v>279.4</v>
      </c>
      <c r="H57" s="9" t="s">
        <v>754</v>
      </c>
      <c r="I57" s="6" t="s">
        <v>442</v>
      </c>
      <c r="J57" s="6"/>
      <c r="K57" s="6" t="s">
        <v>442</v>
      </c>
      <c r="L57" s="6" t="s">
        <v>755</v>
      </c>
      <c r="M57" s="9" t="s">
        <v>444</v>
      </c>
      <c r="N57" s="9" t="s">
        <v>756</v>
      </c>
      <c r="O57" s="12" t="s">
        <v>757</v>
      </c>
    </row>
    <row r="58" customFormat="false" ht="23.85" hidden="false" customHeight="false" outlineLevel="0" collapsed="false">
      <c r="A58" s="6" t="s">
        <v>328</v>
      </c>
      <c r="B58" s="9" t="s">
        <v>329</v>
      </c>
      <c r="C58" s="9" t="s">
        <v>64</v>
      </c>
      <c r="D58" s="6" t="s">
        <v>188</v>
      </c>
      <c r="E58" s="6" t="s">
        <v>758</v>
      </c>
      <c r="F58" s="6" t="s">
        <v>759</v>
      </c>
      <c r="G58" s="10" t="n">
        <v>250.4</v>
      </c>
      <c r="H58" s="9" t="s">
        <v>760</v>
      </c>
      <c r="I58" s="6" t="s">
        <v>450</v>
      </c>
      <c r="J58" s="6"/>
      <c r="K58" s="6" t="s">
        <v>450</v>
      </c>
      <c r="L58" s="6" t="s">
        <v>761</v>
      </c>
      <c r="M58" s="9" t="s">
        <v>444</v>
      </c>
      <c r="N58" s="9" t="s">
        <v>762</v>
      </c>
      <c r="O58" s="12" t="s">
        <v>763</v>
      </c>
    </row>
    <row r="59" customFormat="false" ht="23.85" hidden="false" customHeight="false" outlineLevel="0" collapsed="false">
      <c r="A59" s="6" t="s">
        <v>77</v>
      </c>
      <c r="B59" s="9" t="s">
        <v>78</v>
      </c>
      <c r="C59" s="9" t="s">
        <v>52</v>
      </c>
      <c r="D59" s="6" t="s">
        <v>80</v>
      </c>
      <c r="E59" s="6" t="s">
        <v>764</v>
      </c>
      <c r="F59" s="6" t="s">
        <v>765</v>
      </c>
      <c r="G59" s="10" t="n">
        <v>218.9</v>
      </c>
      <c r="H59" s="9" t="s">
        <v>766</v>
      </c>
      <c r="I59" s="6" t="s">
        <v>442</v>
      </c>
      <c r="J59" s="6"/>
      <c r="K59" s="6" t="s">
        <v>442</v>
      </c>
      <c r="L59" s="6" t="s">
        <v>767</v>
      </c>
      <c r="M59" s="9" t="s">
        <v>444</v>
      </c>
      <c r="N59" s="9" t="s">
        <v>768</v>
      </c>
      <c r="O59" s="12" t="s">
        <v>769</v>
      </c>
    </row>
    <row r="60" customFormat="false" ht="28.35" hidden="false" customHeight="false" outlineLevel="0" collapsed="false">
      <c r="A60" s="6" t="s">
        <v>348</v>
      </c>
      <c r="B60" s="9" t="s">
        <v>349</v>
      </c>
      <c r="C60" s="9" t="s">
        <v>64</v>
      </c>
      <c r="D60" s="6" t="s">
        <v>351</v>
      </c>
      <c r="E60" s="6" t="s">
        <v>770</v>
      </c>
      <c r="F60" s="11" t="s">
        <v>771</v>
      </c>
      <c r="G60" s="10" t="n">
        <v>178.6</v>
      </c>
      <c r="H60" s="9" t="s">
        <v>772</v>
      </c>
      <c r="I60" s="6" t="s">
        <v>450</v>
      </c>
      <c r="J60" s="6"/>
      <c r="K60" s="6" t="s">
        <v>450</v>
      </c>
      <c r="L60" s="6" t="s">
        <v>773</v>
      </c>
      <c r="M60" s="9" t="s">
        <v>444</v>
      </c>
      <c r="N60" s="9" t="s">
        <v>774</v>
      </c>
      <c r="O60" s="12" t="s">
        <v>775</v>
      </c>
    </row>
    <row r="61" customFormat="false" ht="23.85" hidden="false" customHeight="false" outlineLevel="0" collapsed="false">
      <c r="A61" s="9" t="s">
        <v>395</v>
      </c>
      <c r="B61" s="9" t="s">
        <v>396</v>
      </c>
      <c r="C61" s="9" t="s">
        <v>64</v>
      </c>
      <c r="D61" s="6" t="s">
        <v>398</v>
      </c>
      <c r="E61" s="6" t="s">
        <v>776</v>
      </c>
      <c r="F61" s="6" t="s">
        <v>777</v>
      </c>
      <c r="G61" s="10" t="n">
        <v>172.2</v>
      </c>
      <c r="H61" s="9" t="s">
        <v>778</v>
      </c>
      <c r="I61" s="6" t="s">
        <v>450</v>
      </c>
      <c r="J61" s="6"/>
      <c r="K61" s="6" t="s">
        <v>450</v>
      </c>
      <c r="L61" s="6" t="s">
        <v>779</v>
      </c>
      <c r="M61" s="9" t="s">
        <v>444</v>
      </c>
      <c r="N61" s="9" t="s">
        <v>780</v>
      </c>
      <c r="O61" s="12" t="s">
        <v>781</v>
      </c>
    </row>
    <row r="62" customFormat="false" ht="23.85" hidden="false" customHeight="false" outlineLevel="0" collapsed="false">
      <c r="A62" s="6" t="s">
        <v>277</v>
      </c>
      <c r="B62" s="9" t="s">
        <v>278</v>
      </c>
      <c r="C62" s="9" t="s">
        <v>64</v>
      </c>
      <c r="D62" s="6" t="s">
        <v>145</v>
      </c>
      <c r="E62" s="6" t="s">
        <v>782</v>
      </c>
      <c r="F62" s="6" t="s">
        <v>783</v>
      </c>
      <c r="G62" s="10" t="n">
        <v>167.7</v>
      </c>
      <c r="H62" s="9" t="s">
        <v>784</v>
      </c>
      <c r="I62" s="6" t="s">
        <v>442</v>
      </c>
      <c r="J62" s="6"/>
      <c r="K62" s="6" t="s">
        <v>442</v>
      </c>
      <c r="L62" s="6" t="s">
        <v>785</v>
      </c>
      <c r="M62" s="9" t="s">
        <v>444</v>
      </c>
      <c r="N62" s="9" t="s">
        <v>786</v>
      </c>
      <c r="O62" s="12" t="s">
        <v>787</v>
      </c>
    </row>
    <row r="63" customFormat="false" ht="23.85" hidden="false" customHeight="false" outlineLevel="0" collapsed="false">
      <c r="A63" s="6" t="s">
        <v>362</v>
      </c>
      <c r="B63" s="9" t="s">
        <v>363</v>
      </c>
      <c r="C63" s="9" t="s">
        <v>52</v>
      </c>
      <c r="D63" s="6" t="s">
        <v>199</v>
      </c>
      <c r="E63" s="6" t="s">
        <v>788</v>
      </c>
      <c r="F63" s="6" t="s">
        <v>789</v>
      </c>
      <c r="G63" s="10" t="n">
        <v>159.1</v>
      </c>
      <c r="H63" s="9" t="s">
        <v>790</v>
      </c>
      <c r="I63" s="6" t="s">
        <v>442</v>
      </c>
      <c r="J63" s="6"/>
      <c r="K63" s="6" t="s">
        <v>442</v>
      </c>
      <c r="L63" s="6" t="s">
        <v>791</v>
      </c>
      <c r="M63" s="9" t="s">
        <v>444</v>
      </c>
      <c r="N63" s="9" t="s">
        <v>792</v>
      </c>
      <c r="O63" s="12" t="s">
        <v>793</v>
      </c>
    </row>
    <row r="64" customFormat="false" ht="23.85" hidden="false" customHeight="false" outlineLevel="0" collapsed="false">
      <c r="A64" s="6" t="s">
        <v>417</v>
      </c>
      <c r="B64" s="9" t="s">
        <v>418</v>
      </c>
      <c r="C64" s="9" t="s">
        <v>64</v>
      </c>
      <c r="D64" s="6" t="s">
        <v>145</v>
      </c>
      <c r="E64" s="6" t="s">
        <v>794</v>
      </c>
      <c r="F64" s="6" t="s">
        <v>795</v>
      </c>
      <c r="G64" s="10" t="n">
        <v>152.6</v>
      </c>
      <c r="H64" s="9" t="s">
        <v>796</v>
      </c>
      <c r="I64" s="6" t="s">
        <v>442</v>
      </c>
      <c r="J64" s="6"/>
      <c r="K64" s="6" t="s">
        <v>442</v>
      </c>
      <c r="L64" s="6" t="s">
        <v>797</v>
      </c>
      <c r="M64" s="9" t="s">
        <v>444</v>
      </c>
      <c r="N64" s="9" t="s">
        <v>798</v>
      </c>
      <c r="O64" s="12" t="s">
        <v>799</v>
      </c>
    </row>
    <row r="65" customFormat="false" ht="23.85" hidden="false" customHeight="false" outlineLevel="0" collapsed="false">
      <c r="A65" s="6" t="s">
        <v>287</v>
      </c>
      <c r="B65" s="9" t="s">
        <v>288</v>
      </c>
      <c r="C65" s="9" t="s">
        <v>52</v>
      </c>
      <c r="D65" s="6" t="s">
        <v>188</v>
      </c>
      <c r="E65" s="6" t="s">
        <v>800</v>
      </c>
      <c r="F65" s="6" t="s">
        <v>801</v>
      </c>
      <c r="G65" s="10" t="n">
        <v>125.5</v>
      </c>
      <c r="H65" s="9" t="s">
        <v>802</v>
      </c>
      <c r="I65" s="6" t="s">
        <v>442</v>
      </c>
      <c r="J65" s="6"/>
      <c r="K65" s="6" t="s">
        <v>442</v>
      </c>
      <c r="L65" s="6" t="s">
        <v>803</v>
      </c>
      <c r="M65" s="9" t="s">
        <v>444</v>
      </c>
      <c r="N65" s="9" t="s">
        <v>804</v>
      </c>
      <c r="O65" s="12" t="s">
        <v>805</v>
      </c>
    </row>
    <row r="66" customFormat="false" ht="23.85" hidden="false" customHeight="false" outlineLevel="0" collapsed="false">
      <c r="A66" s="6" t="s">
        <v>352</v>
      </c>
      <c r="B66" s="9" t="s">
        <v>353</v>
      </c>
      <c r="C66" s="9" t="s">
        <v>64</v>
      </c>
      <c r="D66" s="6" t="s">
        <v>355</v>
      </c>
      <c r="E66" s="6" t="s">
        <v>806</v>
      </c>
      <c r="F66" s="6" t="s">
        <v>807</v>
      </c>
      <c r="G66" s="10" t="n">
        <v>109.8</v>
      </c>
      <c r="H66" s="9" t="s">
        <v>808</v>
      </c>
      <c r="I66" s="6" t="s">
        <v>450</v>
      </c>
      <c r="J66" s="6"/>
      <c r="K66" s="6" t="s">
        <v>450</v>
      </c>
      <c r="L66" s="6" t="s">
        <v>809</v>
      </c>
      <c r="M66" s="9" t="s">
        <v>444</v>
      </c>
      <c r="N66" s="9" t="s">
        <v>810</v>
      </c>
      <c r="O66" s="12" t="s">
        <v>811</v>
      </c>
    </row>
    <row r="67" customFormat="false" ht="23.85" hidden="false" customHeight="false" outlineLevel="0" collapsed="false">
      <c r="A67" s="6" t="s">
        <v>114</v>
      </c>
      <c r="B67" s="9" t="s">
        <v>115</v>
      </c>
      <c r="C67" s="9" t="s">
        <v>64</v>
      </c>
      <c r="D67" s="6" t="s">
        <v>88</v>
      </c>
      <c r="E67" s="6" t="s">
        <v>812</v>
      </c>
      <c r="F67" s="6" t="s">
        <v>813</v>
      </c>
      <c r="G67" s="10" t="n">
        <v>108.3</v>
      </c>
      <c r="H67" s="9" t="s">
        <v>814</v>
      </c>
      <c r="I67" s="6" t="s">
        <v>442</v>
      </c>
      <c r="J67" s="6"/>
      <c r="K67" s="6" t="s">
        <v>442</v>
      </c>
      <c r="L67" s="6" t="s">
        <v>815</v>
      </c>
      <c r="M67" s="9" t="s">
        <v>444</v>
      </c>
      <c r="N67" s="9" t="s">
        <v>816</v>
      </c>
      <c r="O67" s="12" t="s">
        <v>817</v>
      </c>
    </row>
    <row r="68" customFormat="false" ht="23.85" hidden="false" customHeight="false" outlineLevel="0" collapsed="false">
      <c r="A68" s="6" t="s">
        <v>121</v>
      </c>
      <c r="B68" s="9" t="s">
        <v>122</v>
      </c>
      <c r="C68" s="9" t="s">
        <v>52</v>
      </c>
      <c r="D68" s="6" t="s">
        <v>120</v>
      </c>
      <c r="E68" s="6" t="s">
        <v>818</v>
      </c>
      <c r="F68" s="6" t="s">
        <v>819</v>
      </c>
      <c r="G68" s="10" t="n">
        <v>107</v>
      </c>
      <c r="H68" s="9" t="s">
        <v>820</v>
      </c>
      <c r="I68" s="6" t="s">
        <v>442</v>
      </c>
      <c r="J68" s="6"/>
      <c r="K68" s="6" t="s">
        <v>442</v>
      </c>
      <c r="L68" s="6" t="s">
        <v>821</v>
      </c>
      <c r="M68" s="9" t="s">
        <v>444</v>
      </c>
      <c r="N68" s="9" t="s">
        <v>822</v>
      </c>
      <c r="O68" s="12" t="s">
        <v>823</v>
      </c>
    </row>
    <row r="69" customFormat="false" ht="23.85" hidden="false" customHeight="false" outlineLevel="0" collapsed="false">
      <c r="A69" s="6" t="s">
        <v>117</v>
      </c>
      <c r="B69" s="9" t="s">
        <v>118</v>
      </c>
      <c r="C69" s="9" t="s">
        <v>52</v>
      </c>
      <c r="D69" s="6" t="s">
        <v>120</v>
      </c>
      <c r="E69" s="6" t="s">
        <v>824</v>
      </c>
      <c r="F69" s="6" t="s">
        <v>825</v>
      </c>
      <c r="G69" s="10" t="n">
        <v>77.9</v>
      </c>
      <c r="H69" s="9" t="s">
        <v>826</v>
      </c>
      <c r="I69" s="6" t="s">
        <v>442</v>
      </c>
      <c r="J69" s="6"/>
      <c r="K69" s="6" t="s">
        <v>442</v>
      </c>
      <c r="L69" s="6" t="s">
        <v>827</v>
      </c>
      <c r="M69" s="9" t="s">
        <v>444</v>
      </c>
      <c r="N69" s="9" t="s">
        <v>828</v>
      </c>
      <c r="O69" s="12" t="s">
        <v>829</v>
      </c>
    </row>
    <row r="70" customFormat="false" ht="23.85" hidden="false" customHeight="false" outlineLevel="0" collapsed="false">
      <c r="A70" s="6" t="s">
        <v>160</v>
      </c>
      <c r="B70" s="9" t="s">
        <v>161</v>
      </c>
      <c r="C70" s="9" t="s">
        <v>64</v>
      </c>
      <c r="D70" s="6" t="s">
        <v>163</v>
      </c>
      <c r="E70" s="6" t="s">
        <v>830</v>
      </c>
      <c r="F70" s="6" t="s">
        <v>831</v>
      </c>
      <c r="G70" s="10" t="n">
        <v>72.9</v>
      </c>
      <c r="H70" s="9" t="s">
        <v>832</v>
      </c>
      <c r="I70" s="6" t="s">
        <v>450</v>
      </c>
      <c r="J70" s="6"/>
      <c r="K70" s="6" t="s">
        <v>450</v>
      </c>
      <c r="L70" s="6" t="s">
        <v>833</v>
      </c>
      <c r="M70" s="9" t="s">
        <v>444</v>
      </c>
      <c r="N70" s="9" t="s">
        <v>834</v>
      </c>
      <c r="O70" s="12" t="s">
        <v>835</v>
      </c>
    </row>
    <row r="71" customFormat="false" ht="23.85" hidden="false" customHeight="false" outlineLevel="0" collapsed="false">
      <c r="A71" s="9" t="s">
        <v>156</v>
      </c>
      <c r="B71" s="9" t="s">
        <v>157</v>
      </c>
      <c r="C71" s="9" t="s">
        <v>64</v>
      </c>
      <c r="D71" s="6" t="s">
        <v>109</v>
      </c>
      <c r="E71" s="6" t="s">
        <v>836</v>
      </c>
      <c r="F71" s="6" t="s">
        <v>837</v>
      </c>
      <c r="G71" s="10" t="n">
        <v>70.9</v>
      </c>
      <c r="H71" s="9" t="s">
        <v>838</v>
      </c>
      <c r="I71" s="6" t="s">
        <v>442</v>
      </c>
      <c r="J71" s="6"/>
      <c r="K71" s="6" t="s">
        <v>442</v>
      </c>
      <c r="L71" s="6" t="s">
        <v>839</v>
      </c>
      <c r="M71" s="9" t="s">
        <v>444</v>
      </c>
      <c r="N71" s="9" t="s">
        <v>840</v>
      </c>
      <c r="O71" s="12" t="s">
        <v>841</v>
      </c>
    </row>
    <row r="72" customFormat="false" ht="23.85" hidden="false" customHeight="false" outlineLevel="0" collapsed="false">
      <c r="A72" s="9" t="s">
        <v>414</v>
      </c>
      <c r="B72" s="9" t="s">
        <v>415</v>
      </c>
      <c r="C72" s="9" t="s">
        <v>52</v>
      </c>
      <c r="D72" s="6" t="s">
        <v>199</v>
      </c>
      <c r="E72" s="6" t="s">
        <v>842</v>
      </c>
      <c r="F72" s="6" t="s">
        <v>843</v>
      </c>
      <c r="G72" s="10" t="n">
        <v>70.1</v>
      </c>
      <c r="H72" s="9" t="s">
        <v>844</v>
      </c>
      <c r="I72" s="6" t="s">
        <v>450</v>
      </c>
      <c r="J72" s="6"/>
      <c r="K72" s="6" t="s">
        <v>450</v>
      </c>
      <c r="L72" s="6" t="s">
        <v>845</v>
      </c>
      <c r="M72" s="9" t="s">
        <v>444</v>
      </c>
      <c r="N72" s="9" t="s">
        <v>846</v>
      </c>
      <c r="O72" s="12" t="s">
        <v>847</v>
      </c>
    </row>
    <row r="73" customFormat="false" ht="23.85" hidden="false" customHeight="false" outlineLevel="0" collapsed="false">
      <c r="A73" s="6" t="s">
        <v>129</v>
      </c>
      <c r="B73" s="9" t="s">
        <v>130</v>
      </c>
      <c r="C73" s="9" t="s">
        <v>64</v>
      </c>
      <c r="D73" s="6" t="s">
        <v>132</v>
      </c>
      <c r="E73" s="6" t="s">
        <v>848</v>
      </c>
      <c r="F73" s="6" t="s">
        <v>849</v>
      </c>
      <c r="G73" s="10" t="n">
        <v>62.1</v>
      </c>
      <c r="H73" s="9" t="s">
        <v>850</v>
      </c>
      <c r="I73" s="6" t="s">
        <v>442</v>
      </c>
      <c r="J73" s="6"/>
      <c r="K73" s="6" t="s">
        <v>442</v>
      </c>
      <c r="L73" s="6" t="s">
        <v>851</v>
      </c>
      <c r="M73" s="9" t="s">
        <v>444</v>
      </c>
      <c r="N73" s="9" t="s">
        <v>852</v>
      </c>
      <c r="O73" s="12" t="s">
        <v>853</v>
      </c>
    </row>
    <row r="74" customFormat="false" ht="23.85" hidden="false" customHeight="false" outlineLevel="0" collapsed="false">
      <c r="A74" s="6" t="s">
        <v>150</v>
      </c>
      <c r="B74" s="9" t="s">
        <v>151</v>
      </c>
      <c r="C74" s="9" t="s">
        <v>64</v>
      </c>
      <c r="D74" s="6" t="s">
        <v>137</v>
      </c>
      <c r="E74" s="6" t="s">
        <v>854</v>
      </c>
      <c r="F74" s="6" t="s">
        <v>855</v>
      </c>
      <c r="G74" s="10" t="n">
        <v>60.6</v>
      </c>
      <c r="H74" s="9" t="s">
        <v>856</v>
      </c>
      <c r="I74" s="6" t="s">
        <v>442</v>
      </c>
      <c r="J74" s="6"/>
      <c r="K74" s="6" t="s">
        <v>442</v>
      </c>
      <c r="L74" s="6" t="s">
        <v>857</v>
      </c>
      <c r="M74" s="9" t="s">
        <v>444</v>
      </c>
      <c r="N74" s="9" t="s">
        <v>858</v>
      </c>
      <c r="O74" s="12" t="s">
        <v>859</v>
      </c>
    </row>
    <row r="75" customFormat="false" ht="23.85" hidden="false" customHeight="false" outlineLevel="0" collapsed="false">
      <c r="A75" s="6" t="s">
        <v>72</v>
      </c>
      <c r="B75" s="9" t="s">
        <v>73</v>
      </c>
      <c r="C75" s="9" t="s">
        <v>64</v>
      </c>
      <c r="D75" s="6" t="s">
        <v>75</v>
      </c>
      <c r="E75" s="6" t="s">
        <v>860</v>
      </c>
      <c r="F75" s="6" t="s">
        <v>861</v>
      </c>
      <c r="G75" s="10" t="n">
        <v>54.6</v>
      </c>
      <c r="H75" s="9" t="s">
        <v>862</v>
      </c>
      <c r="I75" s="6" t="s">
        <v>442</v>
      </c>
      <c r="J75" s="6"/>
      <c r="K75" s="6" t="s">
        <v>442</v>
      </c>
      <c r="L75" s="6" t="s">
        <v>863</v>
      </c>
      <c r="M75" s="9" t="s">
        <v>444</v>
      </c>
      <c r="N75" s="9" t="s">
        <v>864</v>
      </c>
      <c r="O75" s="12" t="s">
        <v>865</v>
      </c>
    </row>
    <row r="76" customFormat="false" ht="23.85" hidden="false" customHeight="false" outlineLevel="0" collapsed="false">
      <c r="A76" s="9" t="s">
        <v>81</v>
      </c>
      <c r="B76" s="9" t="s">
        <v>82</v>
      </c>
      <c r="C76" s="9" t="s">
        <v>52</v>
      </c>
      <c r="D76" s="9" t="s">
        <v>84</v>
      </c>
      <c r="E76" s="6" t="s">
        <v>866</v>
      </c>
      <c r="F76" s="6" t="s">
        <v>867</v>
      </c>
      <c r="G76" s="10" t="n">
        <v>35.8</v>
      </c>
      <c r="H76" s="9" t="s">
        <v>868</v>
      </c>
      <c r="I76" s="6" t="s">
        <v>442</v>
      </c>
      <c r="J76" s="6"/>
      <c r="K76" s="6" t="s">
        <v>442</v>
      </c>
      <c r="L76" s="6" t="s">
        <v>869</v>
      </c>
      <c r="M76" s="9" t="s">
        <v>444</v>
      </c>
      <c r="N76" s="9" t="s">
        <v>870</v>
      </c>
      <c r="O76" s="12" t="s">
        <v>871</v>
      </c>
    </row>
    <row r="77" customFormat="false" ht="23.85" hidden="false" customHeight="false" outlineLevel="0" collapsed="false">
      <c r="A77" s="6" t="s">
        <v>85</v>
      </c>
      <c r="B77" s="9" t="s">
        <v>86</v>
      </c>
      <c r="C77" s="9" t="s">
        <v>64</v>
      </c>
      <c r="D77" s="6" t="s">
        <v>88</v>
      </c>
      <c r="E77" s="6" t="s">
        <v>872</v>
      </c>
      <c r="F77" s="6" t="s">
        <v>873</v>
      </c>
      <c r="G77" s="10" t="n">
        <v>33</v>
      </c>
      <c r="H77" s="9" t="s">
        <v>874</v>
      </c>
      <c r="I77" s="6" t="s">
        <v>511</v>
      </c>
      <c r="J77" s="6"/>
      <c r="K77" s="6" t="s">
        <v>511</v>
      </c>
      <c r="L77" s="6" t="s">
        <v>875</v>
      </c>
      <c r="M77" s="9" t="s">
        <v>444</v>
      </c>
      <c r="N77" s="9" t="s">
        <v>876</v>
      </c>
      <c r="O77" s="12" t="s">
        <v>877</v>
      </c>
    </row>
    <row r="78" customFormat="false" ht="28.35" hidden="false" customHeight="false" outlineLevel="0" collapsed="false">
      <c r="A78" s="6" t="s">
        <v>312</v>
      </c>
      <c r="B78" s="9" t="s">
        <v>313</v>
      </c>
      <c r="C78" s="9" t="s">
        <v>52</v>
      </c>
      <c r="D78" s="6" t="s">
        <v>199</v>
      </c>
      <c r="E78" s="6" t="s">
        <v>878</v>
      </c>
      <c r="F78" s="11" t="s">
        <v>879</v>
      </c>
      <c r="G78" s="10" t="n">
        <v>31.6</v>
      </c>
      <c r="H78" s="9" t="s">
        <v>880</v>
      </c>
      <c r="I78" s="6" t="s">
        <v>450</v>
      </c>
      <c r="J78" s="6"/>
      <c r="K78" s="6" t="s">
        <v>450</v>
      </c>
      <c r="L78" s="6" t="s">
        <v>881</v>
      </c>
      <c r="M78" s="9" t="s">
        <v>444</v>
      </c>
      <c r="N78" s="9" t="s">
        <v>882</v>
      </c>
      <c r="O78" s="12" t="s">
        <v>883</v>
      </c>
    </row>
    <row r="79" customFormat="false" ht="23.85" hidden="false" customHeight="false" outlineLevel="0" collapsed="false">
      <c r="A79" s="6" t="s">
        <v>110</v>
      </c>
      <c r="B79" s="9" t="s">
        <v>111</v>
      </c>
      <c r="C79" s="9" t="s">
        <v>52</v>
      </c>
      <c r="D79" s="6" t="s">
        <v>113</v>
      </c>
      <c r="E79" s="6" t="s">
        <v>884</v>
      </c>
      <c r="F79" s="6" t="s">
        <v>885</v>
      </c>
      <c r="G79" s="10" t="n">
        <v>28.6</v>
      </c>
      <c r="H79" s="9" t="s">
        <v>886</v>
      </c>
      <c r="I79" s="6" t="s">
        <v>450</v>
      </c>
      <c r="J79" s="6"/>
      <c r="K79" s="6" t="s">
        <v>450</v>
      </c>
      <c r="L79" s="6" t="s">
        <v>887</v>
      </c>
      <c r="M79" s="9" t="s">
        <v>444</v>
      </c>
      <c r="N79" s="9" t="s">
        <v>888</v>
      </c>
      <c r="O79" s="12" t="s">
        <v>889</v>
      </c>
    </row>
    <row r="80" customFormat="false" ht="27.6" hidden="false" customHeight="false" outlineLevel="0" collapsed="false">
      <c r="A80" s="6" t="s">
        <v>96</v>
      </c>
      <c r="B80" s="9" t="s">
        <v>97</v>
      </c>
      <c r="C80" s="9" t="s">
        <v>52</v>
      </c>
      <c r="D80" s="6" t="s">
        <v>99</v>
      </c>
      <c r="E80" s="6" t="s">
        <v>890</v>
      </c>
      <c r="F80" s="11" t="s">
        <v>891</v>
      </c>
      <c r="G80" s="10" t="n">
        <v>27</v>
      </c>
      <c r="H80" s="9" t="s">
        <v>892</v>
      </c>
      <c r="I80" s="6" t="s">
        <v>450</v>
      </c>
      <c r="J80" s="6"/>
      <c r="K80" s="6" t="s">
        <v>450</v>
      </c>
      <c r="L80" s="6" t="s">
        <v>893</v>
      </c>
      <c r="M80" s="9" t="s">
        <v>444</v>
      </c>
      <c r="N80" s="9" t="s">
        <v>894</v>
      </c>
      <c r="O80" s="12" t="s">
        <v>895</v>
      </c>
    </row>
    <row r="81" customFormat="false" ht="23.85" hidden="false" customHeight="false" outlineLevel="0" collapsed="false">
      <c r="A81" s="9" t="s">
        <v>106</v>
      </c>
      <c r="B81" s="9" t="s">
        <v>107</v>
      </c>
      <c r="C81" s="9" t="s">
        <v>52</v>
      </c>
      <c r="D81" s="6" t="s">
        <v>109</v>
      </c>
      <c r="E81" s="6" t="s">
        <v>896</v>
      </c>
      <c r="F81" s="6" t="s">
        <v>897</v>
      </c>
      <c r="G81" s="10" t="n">
        <v>22</v>
      </c>
      <c r="H81" s="9" t="s">
        <v>898</v>
      </c>
      <c r="I81" s="6" t="s">
        <v>442</v>
      </c>
      <c r="J81" s="6"/>
      <c r="K81" s="6" t="s">
        <v>442</v>
      </c>
      <c r="L81" s="6" t="s">
        <v>899</v>
      </c>
      <c r="M81" s="9" t="s">
        <v>444</v>
      </c>
      <c r="N81" s="9" t="s">
        <v>900</v>
      </c>
      <c r="O81" s="12" t="s">
        <v>901</v>
      </c>
    </row>
    <row r="82" customFormat="false" ht="23.85" hidden="false" customHeight="false" outlineLevel="0" collapsed="false">
      <c r="A82" s="6" t="s">
        <v>125</v>
      </c>
      <c r="B82" s="9" t="s">
        <v>126</v>
      </c>
      <c r="C82" s="9" t="s">
        <v>52</v>
      </c>
      <c r="D82" s="6" t="s">
        <v>128</v>
      </c>
      <c r="E82" s="6" t="s">
        <v>902</v>
      </c>
      <c r="F82" s="6" t="s">
        <v>903</v>
      </c>
      <c r="G82" s="10" t="n">
        <v>13.6</v>
      </c>
      <c r="H82" s="9" t="s">
        <v>904</v>
      </c>
      <c r="I82" s="6" t="s">
        <v>450</v>
      </c>
      <c r="J82" s="6"/>
      <c r="K82" s="6" t="s">
        <v>450</v>
      </c>
      <c r="L82" s="6" t="s">
        <v>905</v>
      </c>
      <c r="M82" s="9" t="s">
        <v>444</v>
      </c>
      <c r="N82" s="9" t="s">
        <v>906</v>
      </c>
      <c r="O82" s="12" t="s">
        <v>907</v>
      </c>
    </row>
    <row r="83" customFormat="false" ht="23.85" hidden="false" customHeight="false" outlineLevel="0" collapsed="false">
      <c r="A83" s="6" t="s">
        <v>374</v>
      </c>
      <c r="B83" s="9" t="s">
        <v>375</v>
      </c>
      <c r="C83" s="9" t="s">
        <v>52</v>
      </c>
      <c r="D83" s="6" t="s">
        <v>60</v>
      </c>
      <c r="E83" s="6" t="s">
        <v>908</v>
      </c>
      <c r="F83" s="6" t="s">
        <v>909</v>
      </c>
      <c r="G83" s="10" t="n">
        <v>10</v>
      </c>
      <c r="H83" s="9" t="s">
        <v>910</v>
      </c>
      <c r="I83" s="6" t="s">
        <v>511</v>
      </c>
      <c r="J83" s="6"/>
      <c r="K83" s="6" t="s">
        <v>511</v>
      </c>
      <c r="L83" s="6" t="s">
        <v>911</v>
      </c>
      <c r="M83" s="9" t="s">
        <v>444</v>
      </c>
      <c r="N83" s="9" t="s">
        <v>912</v>
      </c>
      <c r="O83" s="12" t="s">
        <v>913</v>
      </c>
    </row>
    <row r="84" customFormat="false" ht="23.85" hidden="false" customHeight="false" outlineLevel="0" collapsed="false">
      <c r="A84" s="6" t="s">
        <v>387</v>
      </c>
      <c r="B84" s="9" t="s">
        <v>388</v>
      </c>
      <c r="C84" s="9" t="s">
        <v>64</v>
      </c>
      <c r="D84" s="6" t="s">
        <v>88</v>
      </c>
      <c r="E84" s="6" t="s">
        <v>914</v>
      </c>
      <c r="F84" s="6" t="s">
        <v>915</v>
      </c>
      <c r="G84" s="10" t="n">
        <v>8.4</v>
      </c>
      <c r="H84" s="9" t="s">
        <v>916</v>
      </c>
      <c r="I84" s="6" t="s">
        <v>442</v>
      </c>
      <c r="J84" s="6"/>
      <c r="K84" s="6" t="s">
        <v>442</v>
      </c>
      <c r="L84" s="6" t="s">
        <v>917</v>
      </c>
      <c r="M84" s="9" t="s">
        <v>444</v>
      </c>
      <c r="N84" s="9" t="s">
        <v>918</v>
      </c>
      <c r="O84" s="12" t="s">
        <v>919</v>
      </c>
    </row>
  </sheetData>
  <autoFilter ref="A4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8.35"/>
    <col collapsed="false" customWidth="true" hidden="false" outlineLevel="0" max="3" min="3" style="0" width="7.51"/>
    <col collapsed="false" customWidth="true" hidden="false" outlineLevel="0" max="4" min="4" style="0" width="18.36"/>
    <col collapsed="false" customWidth="true" hidden="false" outlineLevel="0" max="5" min="5" style="0" width="33.38"/>
    <col collapsed="false" customWidth="true" hidden="false" outlineLevel="0" max="6" min="6" style="0" width="43.4"/>
    <col collapsed="false" customWidth="true" hidden="false" outlineLevel="0" max="7" min="7" style="0" width="12.52"/>
    <col collapsed="false" customWidth="true" hidden="false" outlineLevel="0" max="9" min="8" style="0" width="11.68"/>
    <col collapsed="false" customWidth="true" hidden="false" outlineLevel="0" max="10" min="10" style="0" width="10.02"/>
    <col collapsed="false" customWidth="true" hidden="false" outlineLevel="0" max="11" min="11" style="0" width="15.02"/>
    <col collapsed="false" customWidth="true" hidden="false" outlineLevel="0" max="12" min="12" style="0" width="35.05"/>
    <col collapsed="false" customWidth="true" hidden="false" outlineLevel="0" max="13" min="13" style="0" width="10.02"/>
    <col collapsed="false" customWidth="true" hidden="false" outlineLevel="0" max="14" min="14" style="0" width="13.35"/>
    <col collapsed="false" customWidth="true" hidden="false" outlineLevel="0" max="15" min="15" style="0" width="38.39"/>
  </cols>
  <sheetData>
    <row r="1" customFormat="false" ht="17.35" hidden="false" customHeight="false" outlineLevel="0" collapsed="false">
      <c r="A1" s="1" t="s">
        <v>920</v>
      </c>
    </row>
    <row r="2" customFormat="false" ht="15" hidden="false" customHeight="false" outlineLevel="0" collapsed="false">
      <c r="A2" s="2" t="s">
        <v>921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41</v>
      </c>
      <c r="D4" s="5" t="s">
        <v>42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  <c r="J4" s="5" t="s">
        <v>434</v>
      </c>
      <c r="K4" s="5" t="s">
        <v>435</v>
      </c>
      <c r="L4" s="5" t="s">
        <v>436</v>
      </c>
      <c r="M4" s="5" t="s">
        <v>2</v>
      </c>
      <c r="N4" s="5" t="s">
        <v>437</v>
      </c>
      <c r="O4" s="5" t="s">
        <v>438</v>
      </c>
    </row>
    <row r="5" customFormat="false" ht="28.35" hidden="false" customHeight="false" outlineLevel="0" collapsed="false">
      <c r="A5" s="6" t="s">
        <v>169</v>
      </c>
      <c r="B5" s="9" t="s">
        <v>170</v>
      </c>
      <c r="C5" s="9" t="s">
        <v>52</v>
      </c>
      <c r="D5" s="6" t="s">
        <v>172</v>
      </c>
      <c r="E5" s="6" t="s">
        <v>922</v>
      </c>
      <c r="F5" s="11" t="s">
        <v>923</v>
      </c>
      <c r="G5" s="10" t="n">
        <v>159655.8</v>
      </c>
      <c r="H5" s="9" t="s">
        <v>924</v>
      </c>
      <c r="I5" s="6" t="s">
        <v>925</v>
      </c>
      <c r="J5" s="6"/>
      <c r="K5" s="6" t="s">
        <v>926</v>
      </c>
      <c r="L5" s="6" t="s">
        <v>927</v>
      </c>
      <c r="M5" s="9" t="s">
        <v>444</v>
      </c>
      <c r="N5" s="9" t="s">
        <v>445</v>
      </c>
      <c r="O5" s="12" t="s">
        <v>446</v>
      </c>
    </row>
    <row r="6" customFormat="false" ht="28.35" hidden="false" customHeight="false" outlineLevel="0" collapsed="false">
      <c r="A6" s="6" t="s">
        <v>178</v>
      </c>
      <c r="B6" s="9" t="s">
        <v>179</v>
      </c>
      <c r="C6" s="9" t="s">
        <v>52</v>
      </c>
      <c r="D6" s="6" t="s">
        <v>181</v>
      </c>
      <c r="E6" s="6" t="s">
        <v>928</v>
      </c>
      <c r="F6" s="11" t="s">
        <v>929</v>
      </c>
      <c r="G6" s="10" t="n">
        <v>76014</v>
      </c>
      <c r="H6" s="9" t="s">
        <v>930</v>
      </c>
      <c r="I6" s="6" t="s">
        <v>925</v>
      </c>
      <c r="J6" s="6"/>
      <c r="K6" s="6" t="s">
        <v>931</v>
      </c>
      <c r="L6" s="6" t="s">
        <v>932</v>
      </c>
      <c r="M6" s="9" t="s">
        <v>444</v>
      </c>
      <c r="N6" s="9" t="s">
        <v>470</v>
      </c>
      <c r="O6" s="12" t="s">
        <v>471</v>
      </c>
    </row>
    <row r="7" customFormat="false" ht="28.35" hidden="false" customHeight="false" outlineLevel="0" collapsed="false">
      <c r="A7" s="9" t="s">
        <v>174</v>
      </c>
      <c r="B7" s="9" t="s">
        <v>175</v>
      </c>
      <c r="C7" s="9" t="s">
        <v>52</v>
      </c>
      <c r="D7" s="6" t="s">
        <v>75</v>
      </c>
      <c r="E7" s="6" t="s">
        <v>933</v>
      </c>
      <c r="F7" s="11" t="s">
        <v>934</v>
      </c>
      <c r="G7" s="10" t="n">
        <v>48253.1</v>
      </c>
      <c r="H7" s="9" t="s">
        <v>935</v>
      </c>
      <c r="I7" s="6" t="s">
        <v>925</v>
      </c>
      <c r="J7" s="6"/>
      <c r="K7" s="6" t="s">
        <v>936</v>
      </c>
      <c r="L7" s="6" t="s">
        <v>937</v>
      </c>
      <c r="M7" s="9" t="s">
        <v>444</v>
      </c>
      <c r="N7" s="9" t="s">
        <v>452</v>
      </c>
      <c r="O7" s="12" t="s">
        <v>453</v>
      </c>
    </row>
    <row r="8" customFormat="false" ht="28.35" hidden="false" customHeight="false" outlineLevel="0" collapsed="false">
      <c r="A8" s="6" t="s">
        <v>182</v>
      </c>
      <c r="B8" s="9" t="s">
        <v>183</v>
      </c>
      <c r="C8" s="9" t="s">
        <v>52</v>
      </c>
      <c r="D8" s="6" t="s">
        <v>181</v>
      </c>
      <c r="E8" s="6" t="s">
        <v>938</v>
      </c>
      <c r="F8" s="11" t="s">
        <v>939</v>
      </c>
      <c r="G8" s="10" t="n">
        <v>37853.6</v>
      </c>
      <c r="H8" s="9" t="s">
        <v>940</v>
      </c>
      <c r="I8" s="6" t="s">
        <v>925</v>
      </c>
      <c r="J8" s="6"/>
      <c r="K8" s="6" t="s">
        <v>941</v>
      </c>
      <c r="L8" s="6" t="s">
        <v>942</v>
      </c>
      <c r="M8" s="9" t="s">
        <v>444</v>
      </c>
      <c r="N8" s="9" t="s">
        <v>476</v>
      </c>
      <c r="O8" s="12" t="s">
        <v>477</v>
      </c>
    </row>
    <row r="9" customFormat="false" ht="28.35" hidden="false" customHeight="false" outlineLevel="0" collapsed="false">
      <c r="A9" s="9" t="s">
        <v>196</v>
      </c>
      <c r="B9" s="9" t="s">
        <v>197</v>
      </c>
      <c r="C9" s="9" t="s">
        <v>52</v>
      </c>
      <c r="D9" s="6" t="s">
        <v>199</v>
      </c>
      <c r="E9" s="6" t="s">
        <v>943</v>
      </c>
      <c r="F9" s="11" t="s">
        <v>944</v>
      </c>
      <c r="G9" s="10" t="n">
        <v>26720.7</v>
      </c>
      <c r="H9" s="9" t="s">
        <v>945</v>
      </c>
      <c r="I9" s="6" t="s">
        <v>925</v>
      </c>
      <c r="J9" s="6"/>
      <c r="K9" s="6" t="s">
        <v>946</v>
      </c>
      <c r="L9" s="6" t="s">
        <v>947</v>
      </c>
      <c r="M9" s="9" t="s">
        <v>444</v>
      </c>
      <c r="N9" s="9" t="s">
        <v>458</v>
      </c>
      <c r="O9" s="12" t="s">
        <v>459</v>
      </c>
    </row>
    <row r="10" customFormat="false" ht="23.85" hidden="false" customHeight="false" outlineLevel="0" collapsed="false">
      <c r="A10" s="6" t="s">
        <v>356</v>
      </c>
      <c r="B10" s="9" t="s">
        <v>357</v>
      </c>
      <c r="C10" s="9" t="s">
        <v>52</v>
      </c>
      <c r="D10" s="6" t="s">
        <v>93</v>
      </c>
      <c r="E10" s="6" t="s">
        <v>948</v>
      </c>
      <c r="F10" s="6" t="s">
        <v>949</v>
      </c>
      <c r="G10" s="10" t="n">
        <v>24164.8</v>
      </c>
      <c r="H10" s="9" t="s">
        <v>492</v>
      </c>
      <c r="I10" s="6" t="s">
        <v>950</v>
      </c>
      <c r="J10" s="6"/>
      <c r="K10" s="6" t="s">
        <v>951</v>
      </c>
      <c r="L10" s="6" t="s">
        <v>952</v>
      </c>
      <c r="M10" s="9" t="s">
        <v>444</v>
      </c>
      <c r="N10" s="9" t="s">
        <v>500</v>
      </c>
      <c r="O10" s="12" t="s">
        <v>501</v>
      </c>
    </row>
    <row r="11" customFormat="false" ht="23.85" hidden="false" customHeight="false" outlineLevel="0" collapsed="false">
      <c r="A11" s="6" t="s">
        <v>260</v>
      </c>
      <c r="B11" s="9" t="s">
        <v>261</v>
      </c>
      <c r="C11" s="9" t="s">
        <v>52</v>
      </c>
      <c r="D11" s="6" t="s">
        <v>109</v>
      </c>
      <c r="E11" s="6" t="s">
        <v>953</v>
      </c>
      <c r="F11" s="6" t="s">
        <v>954</v>
      </c>
      <c r="G11" s="10" t="n">
        <v>17976.8</v>
      </c>
      <c r="H11" s="9" t="s">
        <v>504</v>
      </c>
      <c r="I11" s="6" t="s">
        <v>955</v>
      </c>
      <c r="J11" s="6"/>
      <c r="K11" s="6" t="s">
        <v>956</v>
      </c>
      <c r="L11" s="6" t="s">
        <v>957</v>
      </c>
      <c r="M11" s="9" t="s">
        <v>444</v>
      </c>
      <c r="N11" s="9" t="s">
        <v>958</v>
      </c>
      <c r="O11" s="12" t="s">
        <v>959</v>
      </c>
    </row>
    <row r="12" customFormat="false" ht="28.35" hidden="false" customHeight="false" outlineLevel="0" collapsed="false">
      <c r="A12" s="6" t="s">
        <v>189</v>
      </c>
      <c r="B12" s="9" t="s">
        <v>190</v>
      </c>
      <c r="C12" s="9" t="s">
        <v>52</v>
      </c>
      <c r="D12" s="6" t="s">
        <v>120</v>
      </c>
      <c r="E12" s="6" t="s">
        <v>960</v>
      </c>
      <c r="F12" s="11" t="s">
        <v>961</v>
      </c>
      <c r="G12" s="10" t="n">
        <v>13444.5</v>
      </c>
      <c r="H12" s="9" t="s">
        <v>962</v>
      </c>
      <c r="I12" s="6" t="s">
        <v>925</v>
      </c>
      <c r="J12" s="6"/>
      <c r="K12" s="6" t="s">
        <v>963</v>
      </c>
      <c r="L12" s="6" t="s">
        <v>964</v>
      </c>
      <c r="M12" s="9" t="s">
        <v>444</v>
      </c>
      <c r="N12" s="9" t="s">
        <v>482</v>
      </c>
      <c r="O12" s="12" t="s">
        <v>483</v>
      </c>
    </row>
    <row r="13" customFormat="false" ht="23.85" hidden="false" customHeight="false" outlineLevel="0" collapsed="false">
      <c r="A13" s="6" t="s">
        <v>185</v>
      </c>
      <c r="B13" s="9" t="s">
        <v>186</v>
      </c>
      <c r="C13" s="9" t="s">
        <v>52</v>
      </c>
      <c r="D13" s="6" t="s">
        <v>188</v>
      </c>
      <c r="E13" s="6" t="s">
        <v>960</v>
      </c>
      <c r="F13" s="6" t="s">
        <v>965</v>
      </c>
      <c r="G13" s="10" t="n">
        <v>12951.4</v>
      </c>
      <c r="H13" s="9" t="s">
        <v>962</v>
      </c>
      <c r="I13" s="6" t="s">
        <v>955</v>
      </c>
      <c r="J13" s="6"/>
      <c r="K13" s="6" t="s">
        <v>966</v>
      </c>
      <c r="L13" s="6" t="s">
        <v>967</v>
      </c>
      <c r="M13" s="9" t="s">
        <v>444</v>
      </c>
      <c r="N13" s="9" t="s">
        <v>558</v>
      </c>
      <c r="O13" s="12" t="s">
        <v>559</v>
      </c>
    </row>
    <row r="14" customFormat="false" ht="28.35" hidden="false" customHeight="false" outlineLevel="0" collapsed="false">
      <c r="A14" s="6" t="s">
        <v>222</v>
      </c>
      <c r="B14" s="9" t="s">
        <v>223</v>
      </c>
      <c r="C14" s="9" t="s">
        <v>52</v>
      </c>
      <c r="D14" s="6" t="s">
        <v>145</v>
      </c>
      <c r="E14" s="6" t="s">
        <v>968</v>
      </c>
      <c r="F14" s="11" t="s">
        <v>969</v>
      </c>
      <c r="G14" s="10" t="n">
        <v>10713.5</v>
      </c>
      <c r="H14" s="9" t="s">
        <v>527</v>
      </c>
      <c r="I14" s="6" t="s">
        <v>955</v>
      </c>
      <c r="J14" s="6"/>
      <c r="K14" s="6" t="s">
        <v>970</v>
      </c>
      <c r="L14" s="6" t="s">
        <v>971</v>
      </c>
      <c r="M14" s="9" t="s">
        <v>444</v>
      </c>
      <c r="N14" s="9" t="s">
        <v>534</v>
      </c>
      <c r="O14" s="12" t="s">
        <v>535</v>
      </c>
    </row>
    <row r="15" customFormat="false" ht="23.85" hidden="false" customHeight="false" outlineLevel="0" collapsed="false">
      <c r="A15" s="6" t="s">
        <v>204</v>
      </c>
      <c r="B15" s="9" t="s">
        <v>205</v>
      </c>
      <c r="C15" s="9" t="s">
        <v>52</v>
      </c>
      <c r="D15" s="6" t="s">
        <v>207</v>
      </c>
      <c r="E15" s="6" t="s">
        <v>972</v>
      </c>
      <c r="F15" s="6" t="s">
        <v>973</v>
      </c>
      <c r="G15" s="10" t="n">
        <v>7764.4</v>
      </c>
      <c r="H15" s="9" t="s">
        <v>974</v>
      </c>
      <c r="I15" s="6" t="s">
        <v>950</v>
      </c>
      <c r="J15" s="6"/>
      <c r="K15" s="6" t="s">
        <v>975</v>
      </c>
      <c r="L15" s="6" t="s">
        <v>976</v>
      </c>
      <c r="M15" s="9" t="s">
        <v>444</v>
      </c>
      <c r="N15" s="9" t="s">
        <v>714</v>
      </c>
      <c r="O15" s="12" t="s">
        <v>715</v>
      </c>
    </row>
    <row r="16" customFormat="false" ht="23.85" hidden="false" customHeight="false" outlineLevel="0" collapsed="false">
      <c r="A16" s="6" t="s">
        <v>368</v>
      </c>
      <c r="B16" s="9" t="s">
        <v>369</v>
      </c>
      <c r="C16" s="9" t="s">
        <v>52</v>
      </c>
      <c r="D16" s="6" t="s">
        <v>109</v>
      </c>
      <c r="E16" s="6" t="s">
        <v>977</v>
      </c>
      <c r="F16" s="6" t="s">
        <v>978</v>
      </c>
      <c r="G16" s="10" t="n">
        <v>6939.5</v>
      </c>
      <c r="H16" s="9" t="s">
        <v>979</v>
      </c>
      <c r="I16" s="6" t="s">
        <v>950</v>
      </c>
      <c r="J16" s="6"/>
      <c r="K16" s="6" t="s">
        <v>980</v>
      </c>
      <c r="L16" s="6" t="s">
        <v>981</v>
      </c>
      <c r="M16" s="9" t="s">
        <v>444</v>
      </c>
      <c r="N16" s="9" t="s">
        <v>528</v>
      </c>
      <c r="O16" s="12" t="s">
        <v>529</v>
      </c>
    </row>
    <row r="17" customFormat="false" ht="28.35" hidden="false" customHeight="false" outlineLevel="0" collapsed="false">
      <c r="A17" s="6" t="s">
        <v>247</v>
      </c>
      <c r="B17" s="9" t="s">
        <v>248</v>
      </c>
      <c r="C17" s="9" t="s">
        <v>52</v>
      </c>
      <c r="D17" s="6" t="s">
        <v>109</v>
      </c>
      <c r="E17" s="6" t="s">
        <v>982</v>
      </c>
      <c r="F17" s="11" t="s">
        <v>983</v>
      </c>
      <c r="G17" s="10" t="n">
        <v>6173.7</v>
      </c>
      <c r="H17" s="9" t="s">
        <v>984</v>
      </c>
      <c r="I17" s="6" t="s">
        <v>925</v>
      </c>
      <c r="J17" s="6"/>
      <c r="K17" s="6" t="s">
        <v>985</v>
      </c>
      <c r="L17" s="6" t="s">
        <v>986</v>
      </c>
      <c r="M17" s="9" t="s">
        <v>444</v>
      </c>
      <c r="N17" s="9" t="s">
        <v>552</v>
      </c>
      <c r="O17" s="12" t="s">
        <v>553</v>
      </c>
    </row>
    <row r="18" customFormat="false" ht="28.35" hidden="false" customHeight="false" outlineLevel="0" collapsed="false">
      <c r="A18" s="6" t="s">
        <v>49</v>
      </c>
      <c r="B18" s="9" t="s">
        <v>50</v>
      </c>
      <c r="C18" s="9" t="s">
        <v>52</v>
      </c>
      <c r="D18" s="6" t="s">
        <v>53</v>
      </c>
      <c r="E18" s="6" t="s">
        <v>987</v>
      </c>
      <c r="F18" s="11" t="s">
        <v>988</v>
      </c>
      <c r="G18" s="10" t="n">
        <v>5868.6</v>
      </c>
      <c r="H18" s="9" t="s">
        <v>989</v>
      </c>
      <c r="I18" s="6" t="s">
        <v>925</v>
      </c>
      <c r="J18" s="6"/>
      <c r="K18" s="6" t="s">
        <v>990</v>
      </c>
      <c r="L18" s="6" t="s">
        <v>991</v>
      </c>
      <c r="M18" s="9" t="s">
        <v>444</v>
      </c>
      <c r="N18" s="9" t="s">
        <v>494</v>
      </c>
      <c r="O18" s="12" t="s">
        <v>495</v>
      </c>
    </row>
    <row r="19" customFormat="false" ht="23.85" hidden="false" customHeight="false" outlineLevel="0" collapsed="false">
      <c r="A19" s="6" t="s">
        <v>296</v>
      </c>
      <c r="B19" s="9" t="s">
        <v>297</v>
      </c>
      <c r="C19" s="9" t="s">
        <v>52</v>
      </c>
      <c r="D19" s="6" t="s">
        <v>237</v>
      </c>
      <c r="E19" s="6" t="s">
        <v>992</v>
      </c>
      <c r="F19" s="6" t="s">
        <v>993</v>
      </c>
      <c r="G19" s="10" t="n">
        <v>5534.7</v>
      </c>
      <c r="H19" s="9" t="s">
        <v>994</v>
      </c>
      <c r="I19" s="6" t="s">
        <v>955</v>
      </c>
      <c r="J19" s="6"/>
      <c r="K19" s="6" t="s">
        <v>995</v>
      </c>
      <c r="L19" s="6" t="s">
        <v>996</v>
      </c>
      <c r="M19" s="9" t="s">
        <v>444</v>
      </c>
      <c r="N19" s="9" t="s">
        <v>997</v>
      </c>
      <c r="O19" s="12" t="s">
        <v>998</v>
      </c>
    </row>
    <row r="20" customFormat="false" ht="28.35" hidden="false" customHeight="false" outlineLevel="0" collapsed="false">
      <c r="A20" s="9" t="s">
        <v>234</v>
      </c>
      <c r="B20" s="9" t="s">
        <v>235</v>
      </c>
      <c r="C20" s="9" t="s">
        <v>52</v>
      </c>
      <c r="D20" s="6" t="s">
        <v>237</v>
      </c>
      <c r="E20" s="6" t="s">
        <v>999</v>
      </c>
      <c r="F20" s="11" t="s">
        <v>1000</v>
      </c>
      <c r="G20" s="10" t="n">
        <v>5310.4</v>
      </c>
      <c r="H20" s="9" t="s">
        <v>1001</v>
      </c>
      <c r="I20" s="6" t="s">
        <v>925</v>
      </c>
      <c r="J20" s="6"/>
      <c r="K20" s="6" t="s">
        <v>1002</v>
      </c>
      <c r="L20" s="6" t="s">
        <v>1003</v>
      </c>
      <c r="M20" s="9" t="s">
        <v>444</v>
      </c>
      <c r="N20" s="9" t="s">
        <v>1004</v>
      </c>
      <c r="O20" s="12" t="s">
        <v>1005</v>
      </c>
    </row>
    <row r="21" customFormat="false" ht="28.35" hidden="false" customHeight="false" outlineLevel="0" collapsed="false">
      <c r="A21" s="6" t="s">
        <v>208</v>
      </c>
      <c r="B21" s="9" t="s">
        <v>209</v>
      </c>
      <c r="C21" s="9" t="s">
        <v>52</v>
      </c>
      <c r="D21" s="9" t="s">
        <v>211</v>
      </c>
      <c r="E21" s="6" t="s">
        <v>1006</v>
      </c>
      <c r="F21" s="11" t="s">
        <v>1007</v>
      </c>
      <c r="G21" s="10" t="n">
        <v>4483.5</v>
      </c>
      <c r="H21" s="9" t="s">
        <v>1008</v>
      </c>
      <c r="I21" s="6" t="s">
        <v>925</v>
      </c>
      <c r="J21" s="6"/>
      <c r="K21" s="6" t="s">
        <v>1009</v>
      </c>
      <c r="L21" s="6" t="s">
        <v>1010</v>
      </c>
      <c r="M21" s="9" t="s">
        <v>444</v>
      </c>
      <c r="N21" s="9" t="s">
        <v>517</v>
      </c>
      <c r="O21" s="12" t="s">
        <v>518</v>
      </c>
    </row>
    <row r="22" customFormat="false" ht="23.85" hidden="false" customHeight="false" outlineLevel="0" collapsed="false">
      <c r="A22" s="6" t="s">
        <v>345</v>
      </c>
      <c r="B22" s="9" t="s">
        <v>346</v>
      </c>
      <c r="C22" s="9" t="s">
        <v>52</v>
      </c>
      <c r="D22" s="6" t="s">
        <v>93</v>
      </c>
      <c r="E22" s="6" t="s">
        <v>1011</v>
      </c>
      <c r="F22" s="6" t="s">
        <v>1012</v>
      </c>
      <c r="G22" s="10" t="n">
        <v>3536.4</v>
      </c>
      <c r="H22" s="9" t="s">
        <v>1013</v>
      </c>
      <c r="I22" s="6" t="s">
        <v>950</v>
      </c>
      <c r="J22" s="6"/>
      <c r="K22" s="6" t="s">
        <v>1014</v>
      </c>
      <c r="L22" s="6" t="s">
        <v>1015</v>
      </c>
      <c r="M22" s="9" t="s">
        <v>444</v>
      </c>
      <c r="N22" s="9" t="s">
        <v>702</v>
      </c>
      <c r="O22" s="12" t="s">
        <v>703</v>
      </c>
    </row>
    <row r="23" customFormat="false" ht="23.85" hidden="false" customHeight="false" outlineLevel="0" collapsed="false">
      <c r="A23" s="6" t="s">
        <v>225</v>
      </c>
      <c r="B23" s="9" t="s">
        <v>226</v>
      </c>
      <c r="C23" s="9" t="s">
        <v>52</v>
      </c>
      <c r="D23" s="6" t="s">
        <v>65</v>
      </c>
      <c r="E23" s="6" t="s">
        <v>1016</v>
      </c>
      <c r="F23" s="6" t="s">
        <v>1017</v>
      </c>
      <c r="G23" s="10" t="n">
        <v>3258.8</v>
      </c>
      <c r="H23" s="9" t="s">
        <v>1018</v>
      </c>
      <c r="I23" s="6" t="s">
        <v>950</v>
      </c>
      <c r="J23" s="6"/>
      <c r="K23" s="6" t="s">
        <v>1019</v>
      </c>
      <c r="L23" s="6" t="s">
        <v>1020</v>
      </c>
      <c r="M23" s="9" t="s">
        <v>444</v>
      </c>
      <c r="N23" s="9" t="s">
        <v>1021</v>
      </c>
      <c r="O23" s="12" t="s">
        <v>1022</v>
      </c>
    </row>
    <row r="24" customFormat="false" ht="23.85" hidden="false" customHeight="false" outlineLevel="0" collapsed="false">
      <c r="A24" s="6" t="s">
        <v>287</v>
      </c>
      <c r="B24" s="9" t="s">
        <v>288</v>
      </c>
      <c r="C24" s="9" t="s">
        <v>52</v>
      </c>
      <c r="D24" s="6" t="s">
        <v>188</v>
      </c>
      <c r="E24" s="6" t="s">
        <v>1023</v>
      </c>
      <c r="F24" s="6" t="s">
        <v>1024</v>
      </c>
      <c r="G24" s="10" t="n">
        <v>2880.1</v>
      </c>
      <c r="H24" s="9" t="s">
        <v>1025</v>
      </c>
      <c r="I24" s="6" t="s">
        <v>955</v>
      </c>
      <c r="J24" s="6"/>
      <c r="K24" s="6" t="s">
        <v>1026</v>
      </c>
      <c r="L24" s="6" t="s">
        <v>1027</v>
      </c>
      <c r="M24" s="9" t="s">
        <v>444</v>
      </c>
      <c r="N24" s="9" t="s">
        <v>804</v>
      </c>
      <c r="O24" s="12" t="s">
        <v>805</v>
      </c>
    </row>
    <row r="25" customFormat="false" ht="28.35" hidden="false" customHeight="false" outlineLevel="0" collapsed="false">
      <c r="A25" s="6" t="s">
        <v>200</v>
      </c>
      <c r="B25" s="9" t="s">
        <v>201</v>
      </c>
      <c r="C25" s="9" t="s">
        <v>52</v>
      </c>
      <c r="D25" s="6" t="s">
        <v>203</v>
      </c>
      <c r="E25" s="6" t="s">
        <v>1028</v>
      </c>
      <c r="F25" s="11" t="s">
        <v>1029</v>
      </c>
      <c r="G25" s="10" t="n">
        <v>2873</v>
      </c>
      <c r="H25" s="9" t="s">
        <v>1030</v>
      </c>
      <c r="I25" s="6" t="s">
        <v>925</v>
      </c>
      <c r="J25" s="6"/>
      <c r="K25" s="6" t="s">
        <v>1031</v>
      </c>
      <c r="L25" s="6" t="s">
        <v>1032</v>
      </c>
      <c r="M25" s="9" t="s">
        <v>444</v>
      </c>
      <c r="N25" s="9" t="s">
        <v>1033</v>
      </c>
      <c r="O25" s="12" t="s">
        <v>1034</v>
      </c>
    </row>
    <row r="26" customFormat="false" ht="28.35" hidden="false" customHeight="false" outlineLevel="0" collapsed="false">
      <c r="A26" s="6" t="s">
        <v>263</v>
      </c>
      <c r="B26" s="9" t="s">
        <v>264</v>
      </c>
      <c r="C26" s="9" t="s">
        <v>52</v>
      </c>
      <c r="D26" s="6" t="s">
        <v>60</v>
      </c>
      <c r="E26" s="6" t="s">
        <v>1035</v>
      </c>
      <c r="F26" s="11" t="s">
        <v>1036</v>
      </c>
      <c r="G26" s="10" t="n">
        <v>2524.7</v>
      </c>
      <c r="H26" s="9" t="s">
        <v>1037</v>
      </c>
      <c r="I26" s="6" t="s">
        <v>955</v>
      </c>
      <c r="J26" s="6"/>
      <c r="K26" s="6" t="s">
        <v>1038</v>
      </c>
      <c r="L26" s="6" t="s">
        <v>1039</v>
      </c>
      <c r="M26" s="9" t="s">
        <v>444</v>
      </c>
      <c r="N26" s="9" t="s">
        <v>506</v>
      </c>
      <c r="O26" s="12" t="s">
        <v>507</v>
      </c>
    </row>
    <row r="27" customFormat="false" ht="23.85" hidden="false" customHeight="false" outlineLevel="0" collapsed="false">
      <c r="A27" s="6" t="s">
        <v>338</v>
      </c>
      <c r="B27" s="9" t="s">
        <v>339</v>
      </c>
      <c r="C27" s="9" t="s">
        <v>52</v>
      </c>
      <c r="D27" s="6" t="s">
        <v>167</v>
      </c>
      <c r="E27" s="6" t="s">
        <v>1040</v>
      </c>
      <c r="F27" s="6" t="s">
        <v>1041</v>
      </c>
      <c r="G27" s="10" t="n">
        <v>2402</v>
      </c>
      <c r="H27" s="9" t="s">
        <v>1042</v>
      </c>
      <c r="I27" s="6" t="s">
        <v>955</v>
      </c>
      <c r="J27" s="6"/>
      <c r="K27" s="6" t="s">
        <v>1043</v>
      </c>
      <c r="L27" s="6" t="s">
        <v>1044</v>
      </c>
      <c r="M27" s="9" t="s">
        <v>444</v>
      </c>
      <c r="N27" s="9" t="s">
        <v>726</v>
      </c>
      <c r="O27" s="12" t="s">
        <v>727</v>
      </c>
    </row>
    <row r="28" customFormat="false" ht="23.85" hidden="false" customHeight="false" outlineLevel="0" collapsed="false">
      <c r="A28" s="9" t="s">
        <v>399</v>
      </c>
      <c r="B28" s="9" t="s">
        <v>400</v>
      </c>
      <c r="C28" s="9" t="s">
        <v>52</v>
      </c>
      <c r="D28" s="6" t="s">
        <v>149</v>
      </c>
      <c r="E28" s="6" t="s">
        <v>1045</v>
      </c>
      <c r="F28" s="6" t="s">
        <v>1046</v>
      </c>
      <c r="G28" s="10" t="n">
        <v>2330.8</v>
      </c>
      <c r="H28" s="9" t="s">
        <v>1047</v>
      </c>
      <c r="I28" s="6" t="s">
        <v>950</v>
      </c>
      <c r="J28" s="6"/>
      <c r="K28" s="6" t="s">
        <v>1048</v>
      </c>
      <c r="L28" s="6" t="s">
        <v>1049</v>
      </c>
      <c r="M28" s="9" t="s">
        <v>444</v>
      </c>
      <c r="N28" s="9" t="s">
        <v>564</v>
      </c>
      <c r="O28" s="12" t="s">
        <v>565</v>
      </c>
    </row>
    <row r="29" customFormat="false" ht="28.35" hidden="false" customHeight="false" outlineLevel="0" collapsed="false">
      <c r="A29" s="9" t="s">
        <v>213</v>
      </c>
      <c r="B29" s="9" t="s">
        <v>214</v>
      </c>
      <c r="C29" s="9" t="s">
        <v>52</v>
      </c>
      <c r="D29" s="6" t="s">
        <v>216</v>
      </c>
      <c r="E29" s="6" t="s">
        <v>1050</v>
      </c>
      <c r="F29" s="11" t="s">
        <v>1051</v>
      </c>
      <c r="G29" s="10" t="n">
        <v>1620.8</v>
      </c>
      <c r="H29" s="9" t="s">
        <v>1052</v>
      </c>
      <c r="I29" s="6" t="s">
        <v>925</v>
      </c>
      <c r="J29" s="6"/>
      <c r="K29" s="6" t="s">
        <v>1053</v>
      </c>
      <c r="L29" s="6" t="s">
        <v>1054</v>
      </c>
      <c r="M29" s="9" t="s">
        <v>444</v>
      </c>
      <c r="N29" s="9" t="s">
        <v>464</v>
      </c>
      <c r="O29" s="12" t="s">
        <v>465</v>
      </c>
    </row>
    <row r="30" customFormat="false" ht="28.35" hidden="false" customHeight="false" outlineLevel="0" collapsed="false">
      <c r="A30" s="9" t="s">
        <v>280</v>
      </c>
      <c r="B30" s="9" t="s">
        <v>281</v>
      </c>
      <c r="C30" s="9" t="s">
        <v>52</v>
      </c>
      <c r="D30" s="6" t="s">
        <v>75</v>
      </c>
      <c r="E30" s="6" t="s">
        <v>1055</v>
      </c>
      <c r="F30" s="11" t="s">
        <v>1056</v>
      </c>
      <c r="G30" s="10" t="n">
        <v>1596.6</v>
      </c>
      <c r="H30" s="9" t="s">
        <v>1057</v>
      </c>
      <c r="I30" s="6" t="s">
        <v>955</v>
      </c>
      <c r="J30" s="6"/>
      <c r="K30" s="6" t="s">
        <v>1058</v>
      </c>
      <c r="L30" s="6" t="s">
        <v>1059</v>
      </c>
      <c r="M30" s="9" t="s">
        <v>444</v>
      </c>
      <c r="N30" s="9" t="s">
        <v>540</v>
      </c>
      <c r="O30" s="12" t="s">
        <v>541</v>
      </c>
    </row>
    <row r="31" customFormat="false" ht="28.35" hidden="false" customHeight="false" outlineLevel="0" collapsed="false">
      <c r="A31" s="6" t="s">
        <v>228</v>
      </c>
      <c r="B31" s="9" t="s">
        <v>229</v>
      </c>
      <c r="C31" s="9" t="s">
        <v>64</v>
      </c>
      <c r="D31" s="6" t="s">
        <v>199</v>
      </c>
      <c r="E31" s="6" t="s">
        <v>1060</v>
      </c>
      <c r="F31" s="11" t="s">
        <v>1061</v>
      </c>
      <c r="G31" s="10" t="n">
        <v>1140.4</v>
      </c>
      <c r="H31" s="9" t="s">
        <v>1062</v>
      </c>
      <c r="I31" s="6" t="s">
        <v>955</v>
      </c>
      <c r="J31" s="6"/>
      <c r="K31" s="6" t="s">
        <v>1063</v>
      </c>
      <c r="L31" s="6" t="s">
        <v>1064</v>
      </c>
      <c r="M31" s="9" t="s">
        <v>444</v>
      </c>
      <c r="N31" s="9" t="s">
        <v>1065</v>
      </c>
      <c r="O31" s="12" t="s">
        <v>1066</v>
      </c>
    </row>
    <row r="32" customFormat="false" ht="23.85" hidden="false" customHeight="false" outlineLevel="0" collapsed="false">
      <c r="A32" s="6" t="s">
        <v>231</v>
      </c>
      <c r="B32" s="9" t="s">
        <v>232</v>
      </c>
      <c r="C32" s="9" t="s">
        <v>52</v>
      </c>
      <c r="D32" s="6" t="s">
        <v>65</v>
      </c>
      <c r="E32" s="6" t="s">
        <v>1067</v>
      </c>
      <c r="F32" s="6" t="s">
        <v>1068</v>
      </c>
      <c r="G32" s="10" t="n">
        <v>992.6</v>
      </c>
      <c r="H32" s="9" t="s">
        <v>1069</v>
      </c>
      <c r="I32" s="6" t="s">
        <v>950</v>
      </c>
      <c r="J32" s="6"/>
      <c r="K32" s="6" t="s">
        <v>1070</v>
      </c>
      <c r="L32" s="6" t="s">
        <v>1071</v>
      </c>
      <c r="M32" s="9" t="s">
        <v>444</v>
      </c>
      <c r="N32" s="9" t="s">
        <v>488</v>
      </c>
      <c r="O32" s="12" t="s">
        <v>489</v>
      </c>
    </row>
    <row r="33" customFormat="false" ht="23.85" hidden="false" customHeight="false" outlineLevel="0" collapsed="false">
      <c r="A33" s="6" t="s">
        <v>57</v>
      </c>
      <c r="B33" s="9" t="s">
        <v>58</v>
      </c>
      <c r="C33" s="9" t="s">
        <v>52</v>
      </c>
      <c r="D33" s="6" t="s">
        <v>60</v>
      </c>
      <c r="E33" s="6" t="s">
        <v>1072</v>
      </c>
      <c r="F33" s="6" t="s">
        <v>1073</v>
      </c>
      <c r="G33" s="10" t="n">
        <v>992.1</v>
      </c>
      <c r="H33" s="9" t="s">
        <v>1074</v>
      </c>
      <c r="I33" s="6" t="s">
        <v>950</v>
      </c>
      <c r="J33" s="6"/>
      <c r="K33" s="6" t="s">
        <v>1075</v>
      </c>
      <c r="L33" s="6" t="s">
        <v>1076</v>
      </c>
      <c r="M33" s="9" t="s">
        <v>444</v>
      </c>
      <c r="N33" s="9" t="s">
        <v>666</v>
      </c>
      <c r="O33" s="12" t="s">
        <v>667</v>
      </c>
    </row>
    <row r="34" customFormat="false" ht="23.85" hidden="false" customHeight="false" outlineLevel="0" collapsed="false">
      <c r="A34" s="6" t="s">
        <v>67</v>
      </c>
      <c r="B34" s="9" t="s">
        <v>68</v>
      </c>
      <c r="C34" s="9" t="s">
        <v>64</v>
      </c>
      <c r="D34" s="6" t="s">
        <v>70</v>
      </c>
      <c r="E34" s="6" t="s">
        <v>1077</v>
      </c>
      <c r="F34" s="6" t="s">
        <v>1078</v>
      </c>
      <c r="G34" s="10" t="n">
        <v>857.7</v>
      </c>
      <c r="H34" s="9" t="s">
        <v>1079</v>
      </c>
      <c r="I34" s="6" t="s">
        <v>950</v>
      </c>
      <c r="J34" s="6"/>
      <c r="K34" s="6" t="s">
        <v>1080</v>
      </c>
      <c r="L34" s="6" t="s">
        <v>1081</v>
      </c>
      <c r="M34" s="9" t="s">
        <v>444</v>
      </c>
      <c r="N34" s="9" t="s">
        <v>672</v>
      </c>
      <c r="O34" s="12" t="s">
        <v>673</v>
      </c>
    </row>
    <row r="35" customFormat="false" ht="23.85" hidden="false" customHeight="false" outlineLevel="0" collapsed="false">
      <c r="A35" s="9" t="s">
        <v>407</v>
      </c>
      <c r="B35" s="9" t="s">
        <v>408</v>
      </c>
      <c r="C35" s="9" t="s">
        <v>52</v>
      </c>
      <c r="D35" s="6" t="s">
        <v>410</v>
      </c>
      <c r="E35" s="6" t="s">
        <v>1082</v>
      </c>
      <c r="F35" s="6" t="s">
        <v>1083</v>
      </c>
      <c r="G35" s="10" t="n">
        <v>846.6</v>
      </c>
      <c r="H35" s="9" t="s">
        <v>1084</v>
      </c>
      <c r="I35" s="6" t="s">
        <v>950</v>
      </c>
      <c r="J35" s="6"/>
      <c r="K35" s="6" t="s">
        <v>1085</v>
      </c>
      <c r="L35" s="6" t="s">
        <v>1086</v>
      </c>
      <c r="M35" s="9" t="s">
        <v>444</v>
      </c>
      <c r="N35" s="9" t="s">
        <v>612</v>
      </c>
      <c r="O35" s="12" t="s">
        <v>613</v>
      </c>
    </row>
    <row r="36" customFormat="false" ht="23.85" hidden="false" customHeight="false" outlineLevel="0" collapsed="false">
      <c r="A36" s="6" t="s">
        <v>254</v>
      </c>
      <c r="B36" s="9" t="s">
        <v>255</v>
      </c>
      <c r="C36" s="9" t="s">
        <v>52</v>
      </c>
      <c r="D36" s="6" t="s">
        <v>220</v>
      </c>
      <c r="E36" s="6" t="s">
        <v>1087</v>
      </c>
      <c r="F36" s="6" t="s">
        <v>1088</v>
      </c>
      <c r="G36" s="10" t="n">
        <v>790.8</v>
      </c>
      <c r="H36" s="9" t="s">
        <v>1089</v>
      </c>
      <c r="I36" s="6" t="s">
        <v>950</v>
      </c>
      <c r="J36" s="6"/>
      <c r="K36" s="6" t="s">
        <v>1090</v>
      </c>
      <c r="L36" s="6" t="s">
        <v>1091</v>
      </c>
      <c r="M36" s="9" t="s">
        <v>444</v>
      </c>
      <c r="N36" s="9" t="s">
        <v>1092</v>
      </c>
      <c r="O36" s="12" t="s">
        <v>1093</v>
      </c>
    </row>
    <row r="37" customFormat="false" ht="28.35" hidden="false" customHeight="false" outlineLevel="0" collapsed="false">
      <c r="A37" s="6" t="s">
        <v>239</v>
      </c>
      <c r="B37" s="9" t="s">
        <v>240</v>
      </c>
      <c r="C37" s="9" t="s">
        <v>64</v>
      </c>
      <c r="D37" s="6" t="s">
        <v>242</v>
      </c>
      <c r="E37" s="6" t="s">
        <v>1094</v>
      </c>
      <c r="F37" s="11" t="s">
        <v>1095</v>
      </c>
      <c r="G37" s="10" t="n">
        <v>730.5</v>
      </c>
      <c r="H37" s="9" t="s">
        <v>1096</v>
      </c>
      <c r="I37" s="6" t="s">
        <v>955</v>
      </c>
      <c r="J37" s="6"/>
      <c r="K37" s="6" t="s">
        <v>1097</v>
      </c>
      <c r="L37" s="6" t="s">
        <v>1098</v>
      </c>
      <c r="M37" s="9" t="s">
        <v>444</v>
      </c>
      <c r="N37" s="9" t="s">
        <v>732</v>
      </c>
      <c r="O37" s="12" t="s">
        <v>733</v>
      </c>
    </row>
    <row r="38" customFormat="false" ht="23.85" hidden="false" customHeight="false" outlineLevel="0" collapsed="false">
      <c r="A38" s="6" t="s">
        <v>312</v>
      </c>
      <c r="B38" s="9" t="s">
        <v>313</v>
      </c>
      <c r="C38" s="9" t="s">
        <v>52</v>
      </c>
      <c r="D38" s="6" t="s">
        <v>199</v>
      </c>
      <c r="E38" s="6" t="s">
        <v>1099</v>
      </c>
      <c r="F38" s="6" t="s">
        <v>1100</v>
      </c>
      <c r="G38" s="10" t="n">
        <v>590.2</v>
      </c>
      <c r="H38" s="9" t="s">
        <v>1101</v>
      </c>
      <c r="I38" s="6" t="s">
        <v>950</v>
      </c>
      <c r="J38" s="6"/>
      <c r="K38" s="6" t="s">
        <v>1102</v>
      </c>
      <c r="L38" s="6" t="s">
        <v>1103</v>
      </c>
      <c r="M38" s="9" t="s">
        <v>444</v>
      </c>
      <c r="N38" s="9" t="s">
        <v>882</v>
      </c>
      <c r="O38" s="12" t="s">
        <v>883</v>
      </c>
    </row>
    <row r="39" customFormat="false" ht="23.85" hidden="false" customHeight="false" outlineLevel="0" collapsed="false">
      <c r="A39" s="6" t="s">
        <v>277</v>
      </c>
      <c r="B39" s="9" t="s">
        <v>278</v>
      </c>
      <c r="C39" s="9" t="s">
        <v>64</v>
      </c>
      <c r="D39" s="6" t="s">
        <v>145</v>
      </c>
      <c r="E39" s="6" t="s">
        <v>1104</v>
      </c>
      <c r="F39" s="6" t="s">
        <v>1105</v>
      </c>
      <c r="G39" s="10" t="n">
        <v>542.7</v>
      </c>
      <c r="H39" s="9" t="s">
        <v>1106</v>
      </c>
      <c r="I39" s="6" t="s">
        <v>955</v>
      </c>
      <c r="J39" s="6"/>
      <c r="K39" s="6" t="s">
        <v>1107</v>
      </c>
      <c r="L39" s="6" t="s">
        <v>1108</v>
      </c>
      <c r="M39" s="9" t="s">
        <v>444</v>
      </c>
      <c r="N39" s="9" t="s">
        <v>786</v>
      </c>
      <c r="O39" s="12" t="s">
        <v>787</v>
      </c>
    </row>
    <row r="40" customFormat="false" ht="23.85" hidden="false" customHeight="false" outlineLevel="0" collapsed="false">
      <c r="A40" s="6" t="s">
        <v>290</v>
      </c>
      <c r="B40" s="9" t="s">
        <v>291</v>
      </c>
      <c r="C40" s="9" t="s">
        <v>52</v>
      </c>
      <c r="D40" s="6" t="s">
        <v>188</v>
      </c>
      <c r="E40" s="6" t="s">
        <v>1109</v>
      </c>
      <c r="F40" s="6" t="s">
        <v>1110</v>
      </c>
      <c r="G40" s="10" t="n">
        <v>521.5</v>
      </c>
      <c r="H40" s="9" t="s">
        <v>1111</v>
      </c>
      <c r="I40" s="6" t="s">
        <v>955</v>
      </c>
      <c r="J40" s="6"/>
      <c r="K40" s="6" t="s">
        <v>1112</v>
      </c>
      <c r="L40" s="6" t="s">
        <v>1113</v>
      </c>
      <c r="M40" s="9" t="s">
        <v>444</v>
      </c>
      <c r="N40" s="9" t="s">
        <v>654</v>
      </c>
      <c r="O40" s="12" t="s">
        <v>655</v>
      </c>
    </row>
    <row r="41" customFormat="false" ht="23.85" hidden="false" customHeight="false" outlineLevel="0" collapsed="false">
      <c r="A41" s="6" t="s">
        <v>402</v>
      </c>
      <c r="B41" s="9" t="s">
        <v>403</v>
      </c>
      <c r="C41" s="9" t="s">
        <v>64</v>
      </c>
      <c r="D41" s="6" t="s">
        <v>405</v>
      </c>
      <c r="E41" s="6" t="s">
        <v>1114</v>
      </c>
      <c r="F41" s="6" t="s">
        <v>1115</v>
      </c>
      <c r="G41" s="10" t="n">
        <v>500.2</v>
      </c>
      <c r="H41" s="9" t="s">
        <v>1116</v>
      </c>
      <c r="I41" s="6" t="s">
        <v>950</v>
      </c>
      <c r="J41" s="6"/>
      <c r="K41" s="6" t="s">
        <v>1117</v>
      </c>
      <c r="L41" s="6" t="s">
        <v>1118</v>
      </c>
      <c r="M41" s="9" t="s">
        <v>1119</v>
      </c>
      <c r="N41" s="9" t="s">
        <v>1120</v>
      </c>
      <c r="O41" s="12" t="s">
        <v>1121</v>
      </c>
    </row>
    <row r="42" customFormat="false" ht="28.35" hidden="false" customHeight="false" outlineLevel="0" collapsed="false">
      <c r="A42" s="9" t="s">
        <v>273</v>
      </c>
      <c r="B42" s="9" t="s">
        <v>274</v>
      </c>
      <c r="C42" s="9" t="s">
        <v>52</v>
      </c>
      <c r="D42" s="6" t="s">
        <v>109</v>
      </c>
      <c r="E42" s="6" t="s">
        <v>1122</v>
      </c>
      <c r="F42" s="11" t="s">
        <v>1123</v>
      </c>
      <c r="G42" s="10" t="n">
        <v>469.4</v>
      </c>
      <c r="H42" s="9" t="s">
        <v>1124</v>
      </c>
      <c r="I42" s="6" t="s">
        <v>950</v>
      </c>
      <c r="J42" s="6"/>
      <c r="K42" s="6" t="s">
        <v>1125</v>
      </c>
      <c r="L42" s="6" t="s">
        <v>1126</v>
      </c>
      <c r="M42" s="9" t="s">
        <v>444</v>
      </c>
      <c r="N42" s="9" t="s">
        <v>606</v>
      </c>
      <c r="O42" s="12" t="s">
        <v>607</v>
      </c>
    </row>
    <row r="43" customFormat="false" ht="23.85" hidden="false" customHeight="false" outlineLevel="0" collapsed="false">
      <c r="A43" s="9" t="s">
        <v>325</v>
      </c>
      <c r="B43" s="9" t="s">
        <v>326</v>
      </c>
      <c r="C43" s="9" t="s">
        <v>52</v>
      </c>
      <c r="D43" s="6" t="s">
        <v>137</v>
      </c>
      <c r="E43" s="6" t="s">
        <v>1127</v>
      </c>
      <c r="F43" s="6" t="s">
        <v>1128</v>
      </c>
      <c r="G43" s="10" t="n">
        <v>447.2</v>
      </c>
      <c r="H43" s="9" t="s">
        <v>1129</v>
      </c>
      <c r="I43" s="6" t="s">
        <v>925</v>
      </c>
      <c r="J43" s="6"/>
      <c r="K43" s="6" t="s">
        <v>1130</v>
      </c>
      <c r="L43" s="6" t="s">
        <v>1131</v>
      </c>
      <c r="M43" s="9" t="s">
        <v>444</v>
      </c>
      <c r="N43" s="9" t="s">
        <v>513</v>
      </c>
      <c r="O43" s="12" t="s">
        <v>514</v>
      </c>
    </row>
    <row r="44" customFormat="false" ht="23.85" hidden="false" customHeight="false" outlineLevel="0" collapsed="false">
      <c r="A44" s="6" t="s">
        <v>365</v>
      </c>
      <c r="B44" s="9" t="s">
        <v>366</v>
      </c>
      <c r="C44" s="9" t="s">
        <v>64</v>
      </c>
      <c r="D44" s="6" t="s">
        <v>88</v>
      </c>
      <c r="E44" s="6" t="s">
        <v>1132</v>
      </c>
      <c r="F44" s="6" t="s">
        <v>1133</v>
      </c>
      <c r="G44" s="10" t="n">
        <v>265.2</v>
      </c>
      <c r="H44" s="9" t="s">
        <v>1134</v>
      </c>
      <c r="I44" s="6" t="s">
        <v>950</v>
      </c>
      <c r="J44" s="6"/>
      <c r="K44" s="6" t="s">
        <v>1135</v>
      </c>
      <c r="L44" s="6" t="s">
        <v>1136</v>
      </c>
      <c r="M44" s="9" t="s">
        <v>444</v>
      </c>
      <c r="N44" s="9" t="s">
        <v>660</v>
      </c>
      <c r="O44" s="12" t="s">
        <v>661</v>
      </c>
    </row>
    <row r="45" customFormat="false" ht="23.85" hidden="false" customHeight="false" outlineLevel="0" collapsed="false">
      <c r="A45" s="9" t="s">
        <v>411</v>
      </c>
      <c r="B45" s="9" t="s">
        <v>412</v>
      </c>
      <c r="C45" s="9" t="s">
        <v>52</v>
      </c>
      <c r="D45" s="6" t="s">
        <v>65</v>
      </c>
      <c r="E45" s="6" t="s">
        <v>1137</v>
      </c>
      <c r="F45" s="6" t="s">
        <v>1138</v>
      </c>
      <c r="G45" s="10" t="n">
        <v>261.9</v>
      </c>
      <c r="H45" s="9" t="s">
        <v>1139</v>
      </c>
      <c r="I45" s="6" t="s">
        <v>955</v>
      </c>
      <c r="J45" s="6"/>
      <c r="K45" s="6" t="s">
        <v>1140</v>
      </c>
      <c r="L45" s="6" t="s">
        <v>1141</v>
      </c>
      <c r="M45" s="9" t="s">
        <v>444</v>
      </c>
      <c r="N45" s="9" t="s">
        <v>1142</v>
      </c>
      <c r="O45" s="12" t="s">
        <v>1143</v>
      </c>
    </row>
    <row r="46" customFormat="false" ht="23.85" hidden="false" customHeight="false" outlineLevel="0" collapsed="false">
      <c r="A46" s="6" t="s">
        <v>374</v>
      </c>
      <c r="B46" s="9" t="s">
        <v>375</v>
      </c>
      <c r="C46" s="9" t="s">
        <v>52</v>
      </c>
      <c r="D46" s="6" t="s">
        <v>60</v>
      </c>
      <c r="E46" s="6" t="s">
        <v>1144</v>
      </c>
      <c r="F46" s="6" t="s">
        <v>1145</v>
      </c>
      <c r="G46" s="10" t="n">
        <v>251.7</v>
      </c>
      <c r="H46" s="9" t="s">
        <v>1146</v>
      </c>
      <c r="I46" s="6" t="s">
        <v>950</v>
      </c>
      <c r="J46" s="6"/>
      <c r="K46" s="6" t="s">
        <v>1147</v>
      </c>
      <c r="L46" s="6" t="s">
        <v>1148</v>
      </c>
      <c r="M46" s="9" t="s">
        <v>444</v>
      </c>
      <c r="N46" s="9" t="s">
        <v>912</v>
      </c>
      <c r="O46" s="12" t="s">
        <v>913</v>
      </c>
    </row>
    <row r="47" customFormat="false" ht="23.85" hidden="false" customHeight="false" outlineLevel="0" collapsed="false">
      <c r="A47" s="6" t="s">
        <v>423</v>
      </c>
      <c r="B47" s="9" t="s">
        <v>424</v>
      </c>
      <c r="C47" s="9" t="s">
        <v>52</v>
      </c>
      <c r="D47" s="6" t="s">
        <v>65</v>
      </c>
      <c r="E47" s="6" t="s">
        <v>1149</v>
      </c>
      <c r="F47" s="6" t="s">
        <v>1150</v>
      </c>
      <c r="G47" s="10" t="n">
        <v>250.6</v>
      </c>
      <c r="H47" s="9" t="s">
        <v>1151</v>
      </c>
      <c r="I47" s="6" t="s">
        <v>950</v>
      </c>
      <c r="J47" s="6"/>
      <c r="K47" s="6" t="s">
        <v>1152</v>
      </c>
      <c r="L47" s="6" t="s">
        <v>1153</v>
      </c>
      <c r="M47" s="9" t="s">
        <v>444</v>
      </c>
      <c r="N47" s="9" t="s">
        <v>600</v>
      </c>
      <c r="O47" s="12" t="s">
        <v>601</v>
      </c>
    </row>
    <row r="48" customFormat="false" ht="23.85" hidden="false" customHeight="false" outlineLevel="0" collapsed="false">
      <c r="A48" s="6" t="s">
        <v>335</v>
      </c>
      <c r="B48" s="9" t="s">
        <v>336</v>
      </c>
      <c r="C48" s="9" t="s">
        <v>64</v>
      </c>
      <c r="D48" s="6" t="s">
        <v>88</v>
      </c>
      <c r="E48" s="6" t="s">
        <v>1154</v>
      </c>
      <c r="F48" s="6" t="s">
        <v>1155</v>
      </c>
      <c r="G48" s="10" t="n">
        <v>249.9</v>
      </c>
      <c r="H48" s="9" t="s">
        <v>760</v>
      </c>
      <c r="I48" s="6" t="s">
        <v>950</v>
      </c>
      <c r="J48" s="6"/>
      <c r="K48" s="6" t="s">
        <v>1156</v>
      </c>
      <c r="L48" s="6" t="s">
        <v>1157</v>
      </c>
      <c r="M48" s="9" t="s">
        <v>444</v>
      </c>
      <c r="N48" s="9" t="s">
        <v>642</v>
      </c>
      <c r="O48" s="12" t="s">
        <v>643</v>
      </c>
    </row>
    <row r="49" customFormat="false" ht="23.85" hidden="false" customHeight="false" outlineLevel="0" collapsed="false">
      <c r="A49" s="6" t="s">
        <v>328</v>
      </c>
      <c r="B49" s="9" t="s">
        <v>329</v>
      </c>
      <c r="C49" s="9" t="s">
        <v>64</v>
      </c>
      <c r="D49" s="6" t="s">
        <v>188</v>
      </c>
      <c r="E49" s="6" t="s">
        <v>1158</v>
      </c>
      <c r="F49" s="6" t="s">
        <v>1159</v>
      </c>
      <c r="G49" s="10" t="n">
        <v>240.9</v>
      </c>
      <c r="H49" s="9" t="s">
        <v>1160</v>
      </c>
      <c r="I49" s="6" t="s">
        <v>950</v>
      </c>
      <c r="J49" s="6"/>
      <c r="K49" s="6" t="s">
        <v>1161</v>
      </c>
      <c r="L49" s="6" t="s">
        <v>1162</v>
      </c>
      <c r="M49" s="9" t="s">
        <v>444</v>
      </c>
      <c r="N49" s="9" t="s">
        <v>762</v>
      </c>
      <c r="O49" s="12" t="s">
        <v>763</v>
      </c>
    </row>
    <row r="50" customFormat="false" ht="23.85" hidden="false" customHeight="false" outlineLevel="0" collapsed="false">
      <c r="A50" s="6" t="s">
        <v>283</v>
      </c>
      <c r="B50" s="9" t="s">
        <v>284</v>
      </c>
      <c r="C50" s="9" t="s">
        <v>64</v>
      </c>
      <c r="D50" s="6" t="s">
        <v>99</v>
      </c>
      <c r="E50" s="6" t="s">
        <v>1163</v>
      </c>
      <c r="F50" s="6" t="s">
        <v>1164</v>
      </c>
      <c r="G50" s="10" t="n">
        <v>239.4</v>
      </c>
      <c r="H50" s="9" t="s">
        <v>1165</v>
      </c>
      <c r="I50" s="6" t="s">
        <v>955</v>
      </c>
      <c r="J50" s="6"/>
      <c r="K50" s="6" t="s">
        <v>1166</v>
      </c>
      <c r="L50" s="6" t="s">
        <v>1167</v>
      </c>
      <c r="M50" s="9" t="s">
        <v>444</v>
      </c>
      <c r="N50" s="9" t="s">
        <v>738</v>
      </c>
      <c r="O50" s="12" t="s">
        <v>739</v>
      </c>
    </row>
    <row r="51" customFormat="false" ht="23.85" hidden="false" customHeight="false" outlineLevel="0" collapsed="false">
      <c r="A51" s="6" t="s">
        <v>121</v>
      </c>
      <c r="B51" s="9" t="s">
        <v>122</v>
      </c>
      <c r="C51" s="9" t="s">
        <v>52</v>
      </c>
      <c r="D51" s="6" t="s">
        <v>120</v>
      </c>
      <c r="E51" s="6" t="s">
        <v>1168</v>
      </c>
      <c r="F51" s="6" t="s">
        <v>1169</v>
      </c>
      <c r="G51" s="10" t="n">
        <v>214.2</v>
      </c>
      <c r="H51" s="9" t="s">
        <v>1170</v>
      </c>
      <c r="I51" s="6" t="s">
        <v>950</v>
      </c>
      <c r="J51" s="6"/>
      <c r="K51" s="6" t="s">
        <v>1171</v>
      </c>
      <c r="L51" s="6" t="s">
        <v>1172</v>
      </c>
      <c r="M51" s="9" t="s">
        <v>444</v>
      </c>
      <c r="N51" s="9" t="s">
        <v>822</v>
      </c>
      <c r="O51" s="12" t="s">
        <v>823</v>
      </c>
    </row>
    <row r="52" customFormat="false" ht="23.85" hidden="false" customHeight="false" outlineLevel="0" collapsed="false">
      <c r="A52" s="9" t="s">
        <v>106</v>
      </c>
      <c r="B52" s="9" t="s">
        <v>107</v>
      </c>
      <c r="C52" s="9" t="s">
        <v>52</v>
      </c>
      <c r="D52" s="6" t="s">
        <v>109</v>
      </c>
      <c r="E52" s="6" t="s">
        <v>1173</v>
      </c>
      <c r="F52" s="6" t="s">
        <v>1174</v>
      </c>
      <c r="G52" s="10" t="n">
        <v>203.5</v>
      </c>
      <c r="H52" s="9" t="s">
        <v>1175</v>
      </c>
      <c r="I52" s="6" t="s">
        <v>950</v>
      </c>
      <c r="J52" s="6"/>
      <c r="K52" s="6" t="s">
        <v>1176</v>
      </c>
      <c r="L52" s="6" t="s">
        <v>1177</v>
      </c>
      <c r="M52" s="9" t="s">
        <v>444</v>
      </c>
      <c r="N52" s="9" t="s">
        <v>900</v>
      </c>
      <c r="O52" s="12" t="s">
        <v>901</v>
      </c>
    </row>
    <row r="53" customFormat="false" ht="23.85" hidden="false" customHeight="false" outlineLevel="0" collapsed="false">
      <c r="A53" s="6" t="s">
        <v>331</v>
      </c>
      <c r="B53" s="9" t="s">
        <v>332</v>
      </c>
      <c r="C53" s="9" t="s">
        <v>52</v>
      </c>
      <c r="D53" s="6" t="s">
        <v>334</v>
      </c>
      <c r="E53" s="6" t="s">
        <v>1178</v>
      </c>
      <c r="F53" s="6" t="s">
        <v>1179</v>
      </c>
      <c r="G53" s="10" t="n">
        <v>202.7</v>
      </c>
      <c r="H53" s="9" t="s">
        <v>1180</v>
      </c>
      <c r="I53" s="6" t="s">
        <v>950</v>
      </c>
      <c r="J53" s="6"/>
      <c r="K53" s="6" t="s">
        <v>1181</v>
      </c>
      <c r="L53" s="6" t="s">
        <v>1182</v>
      </c>
      <c r="M53" s="9" t="s">
        <v>444</v>
      </c>
      <c r="N53" s="9" t="s">
        <v>546</v>
      </c>
      <c r="O53" s="12" t="s">
        <v>547</v>
      </c>
    </row>
    <row r="54" customFormat="false" ht="23.85" hidden="false" customHeight="false" outlineLevel="0" collapsed="false">
      <c r="A54" s="6" t="s">
        <v>117</v>
      </c>
      <c r="B54" s="9" t="s">
        <v>118</v>
      </c>
      <c r="C54" s="9" t="s">
        <v>52</v>
      </c>
      <c r="D54" s="6" t="s">
        <v>120</v>
      </c>
      <c r="E54" s="6" t="s">
        <v>1183</v>
      </c>
      <c r="F54" s="6" t="s">
        <v>1184</v>
      </c>
      <c r="G54" s="10" t="n">
        <v>191.7</v>
      </c>
      <c r="H54" s="9" t="s">
        <v>1185</v>
      </c>
      <c r="I54" s="6" t="s">
        <v>955</v>
      </c>
      <c r="J54" s="6"/>
      <c r="K54" s="6" t="s">
        <v>1186</v>
      </c>
      <c r="L54" s="6" t="s">
        <v>1187</v>
      </c>
      <c r="M54" s="9" t="s">
        <v>444</v>
      </c>
      <c r="N54" s="9" t="s">
        <v>828</v>
      </c>
      <c r="O54" s="12" t="s">
        <v>829</v>
      </c>
    </row>
    <row r="55" customFormat="false" ht="23.85" hidden="false" customHeight="false" outlineLevel="0" collapsed="false">
      <c r="A55" s="6" t="s">
        <v>417</v>
      </c>
      <c r="B55" s="9" t="s">
        <v>418</v>
      </c>
      <c r="C55" s="9" t="s">
        <v>64</v>
      </c>
      <c r="D55" s="6" t="s">
        <v>145</v>
      </c>
      <c r="E55" s="6" t="s">
        <v>1188</v>
      </c>
      <c r="F55" s="6" t="s">
        <v>1189</v>
      </c>
      <c r="G55" s="10" t="n">
        <v>181.5</v>
      </c>
      <c r="H55" s="9" t="s">
        <v>1190</v>
      </c>
      <c r="I55" s="6" t="s">
        <v>955</v>
      </c>
      <c r="J55" s="6"/>
      <c r="K55" s="6" t="s">
        <v>1191</v>
      </c>
      <c r="L55" s="6" t="s">
        <v>1192</v>
      </c>
      <c r="M55" s="9" t="s">
        <v>444</v>
      </c>
      <c r="N55" s="9" t="s">
        <v>798</v>
      </c>
      <c r="O55" s="12" t="s">
        <v>799</v>
      </c>
    </row>
    <row r="56" customFormat="false" ht="23.85" hidden="false" customHeight="false" outlineLevel="0" collapsed="false">
      <c r="A56" s="6" t="s">
        <v>293</v>
      </c>
      <c r="B56" s="9" t="s">
        <v>294</v>
      </c>
      <c r="C56" s="9" t="s">
        <v>64</v>
      </c>
      <c r="D56" s="6" t="s">
        <v>137</v>
      </c>
      <c r="E56" s="6" t="s">
        <v>1193</v>
      </c>
      <c r="F56" s="6" t="s">
        <v>1194</v>
      </c>
      <c r="G56" s="10" t="n">
        <v>178.5</v>
      </c>
      <c r="H56" s="9" t="s">
        <v>1195</v>
      </c>
      <c r="I56" s="6" t="s">
        <v>950</v>
      </c>
      <c r="J56" s="6"/>
      <c r="K56" s="6" t="s">
        <v>1196</v>
      </c>
      <c r="L56" s="6" t="s">
        <v>1197</v>
      </c>
      <c r="M56" s="9" t="s">
        <v>444</v>
      </c>
      <c r="N56" s="9" t="s">
        <v>582</v>
      </c>
      <c r="O56" s="12" t="s">
        <v>583</v>
      </c>
    </row>
    <row r="57" customFormat="false" ht="23.85" hidden="false" customHeight="false" outlineLevel="0" collapsed="false">
      <c r="A57" s="6" t="s">
        <v>110</v>
      </c>
      <c r="B57" s="9" t="s">
        <v>111</v>
      </c>
      <c r="C57" s="9" t="s">
        <v>52</v>
      </c>
      <c r="D57" s="6" t="s">
        <v>113</v>
      </c>
      <c r="E57" s="6" t="s">
        <v>1198</v>
      </c>
      <c r="F57" s="6" t="s">
        <v>1199</v>
      </c>
      <c r="G57" s="10" t="n">
        <v>134.6</v>
      </c>
      <c r="H57" s="9" t="s">
        <v>1200</v>
      </c>
      <c r="I57" s="6" t="s">
        <v>950</v>
      </c>
      <c r="J57" s="6"/>
      <c r="K57" s="6" t="s">
        <v>1201</v>
      </c>
      <c r="L57" s="6" t="s">
        <v>1202</v>
      </c>
      <c r="M57" s="9" t="s">
        <v>444</v>
      </c>
      <c r="N57" s="9" t="s">
        <v>888</v>
      </c>
      <c r="O57" s="12" t="s">
        <v>889</v>
      </c>
    </row>
    <row r="58" customFormat="false" ht="23.85" hidden="false" customHeight="false" outlineLevel="0" collapsed="false">
      <c r="A58" s="6" t="s">
        <v>341</v>
      </c>
      <c r="B58" s="9" t="s">
        <v>342</v>
      </c>
      <c r="C58" s="9" t="s">
        <v>52</v>
      </c>
      <c r="D58" s="6" t="s">
        <v>237</v>
      </c>
      <c r="E58" s="6" t="s">
        <v>1203</v>
      </c>
      <c r="F58" s="6" t="s">
        <v>1204</v>
      </c>
      <c r="G58" s="10" t="n">
        <v>116.1</v>
      </c>
      <c r="H58" s="9" t="s">
        <v>1205</v>
      </c>
      <c r="I58" s="6" t="s">
        <v>955</v>
      </c>
      <c r="J58" s="6"/>
      <c r="K58" s="6" t="s">
        <v>1206</v>
      </c>
      <c r="L58" s="6" t="s">
        <v>1207</v>
      </c>
      <c r="M58" s="9" t="s">
        <v>444</v>
      </c>
      <c r="N58" s="9" t="s">
        <v>1208</v>
      </c>
      <c r="O58" s="12" t="s">
        <v>1209</v>
      </c>
    </row>
    <row r="59" customFormat="false" ht="23.85" hidden="false" customHeight="false" outlineLevel="0" collapsed="false">
      <c r="A59" s="9" t="s">
        <v>395</v>
      </c>
      <c r="B59" s="9" t="s">
        <v>396</v>
      </c>
      <c r="C59" s="9" t="s">
        <v>64</v>
      </c>
      <c r="D59" s="6" t="s">
        <v>398</v>
      </c>
      <c r="E59" s="6" t="s">
        <v>1210</v>
      </c>
      <c r="F59" s="6" t="s">
        <v>1211</v>
      </c>
      <c r="G59" s="10" t="n">
        <v>110.3</v>
      </c>
      <c r="H59" s="9" t="s">
        <v>808</v>
      </c>
      <c r="I59" s="6" t="s">
        <v>950</v>
      </c>
      <c r="J59" s="6"/>
      <c r="K59" s="6" t="s">
        <v>1161</v>
      </c>
      <c r="L59" s="6" t="s">
        <v>1212</v>
      </c>
      <c r="M59" s="9" t="s">
        <v>444</v>
      </c>
      <c r="N59" s="9" t="s">
        <v>780</v>
      </c>
      <c r="O59" s="12" t="s">
        <v>781</v>
      </c>
    </row>
    <row r="60" customFormat="false" ht="23.85" hidden="false" customHeight="false" outlineLevel="0" collapsed="false">
      <c r="A60" s="6" t="s">
        <v>377</v>
      </c>
      <c r="B60" s="9" t="s">
        <v>378</v>
      </c>
      <c r="C60" s="9" t="s">
        <v>52</v>
      </c>
      <c r="D60" s="6" t="s">
        <v>132</v>
      </c>
      <c r="E60" s="6" t="s">
        <v>1213</v>
      </c>
      <c r="F60" s="6" t="s">
        <v>1214</v>
      </c>
      <c r="G60" s="10" t="n">
        <v>104</v>
      </c>
      <c r="H60" s="9" t="s">
        <v>1215</v>
      </c>
      <c r="I60" s="6" t="s">
        <v>925</v>
      </c>
      <c r="J60" s="6"/>
      <c r="K60" s="6" t="s">
        <v>1216</v>
      </c>
      <c r="L60" s="6" t="s">
        <v>1217</v>
      </c>
      <c r="M60" s="9" t="s">
        <v>444</v>
      </c>
      <c r="N60" s="9" t="s">
        <v>684</v>
      </c>
      <c r="O60" s="12" t="s">
        <v>685</v>
      </c>
    </row>
    <row r="61" customFormat="false" ht="23.85" hidden="false" customHeight="false" outlineLevel="0" collapsed="false">
      <c r="A61" s="6" t="s">
        <v>72</v>
      </c>
      <c r="B61" s="9" t="s">
        <v>73</v>
      </c>
      <c r="C61" s="9" t="s">
        <v>64</v>
      </c>
      <c r="D61" s="6" t="s">
        <v>75</v>
      </c>
      <c r="E61" s="6" t="s">
        <v>1218</v>
      </c>
      <c r="F61" s="6" t="s">
        <v>1219</v>
      </c>
      <c r="G61" s="10" t="n">
        <v>94.9</v>
      </c>
      <c r="H61" s="9" t="s">
        <v>1220</v>
      </c>
      <c r="I61" s="6" t="s">
        <v>950</v>
      </c>
      <c r="J61" s="6"/>
      <c r="K61" s="6" t="s">
        <v>1221</v>
      </c>
      <c r="L61" s="6" t="s">
        <v>1222</v>
      </c>
      <c r="M61" s="9" t="s">
        <v>444</v>
      </c>
      <c r="N61" s="9" t="s">
        <v>864</v>
      </c>
      <c r="O61" s="12" t="s">
        <v>865</v>
      </c>
    </row>
    <row r="62" customFormat="false" ht="23.85" hidden="false" customHeight="false" outlineLevel="0" collapsed="false">
      <c r="A62" s="6" t="s">
        <v>352</v>
      </c>
      <c r="B62" s="9" t="s">
        <v>353</v>
      </c>
      <c r="C62" s="9" t="s">
        <v>64</v>
      </c>
      <c r="D62" s="6" t="s">
        <v>355</v>
      </c>
      <c r="E62" s="6" t="s">
        <v>1218</v>
      </c>
      <c r="F62" s="6" t="s">
        <v>1223</v>
      </c>
      <c r="G62" s="10" t="n">
        <v>94.7</v>
      </c>
      <c r="H62" s="9" t="s">
        <v>1220</v>
      </c>
      <c r="I62" s="6" t="s">
        <v>955</v>
      </c>
      <c r="J62" s="6"/>
      <c r="K62" s="6" t="s">
        <v>1224</v>
      </c>
      <c r="L62" s="6" t="s">
        <v>1225</v>
      </c>
      <c r="M62" s="9" t="s">
        <v>444</v>
      </c>
      <c r="N62" s="9" t="s">
        <v>810</v>
      </c>
      <c r="O62" s="12" t="s">
        <v>811</v>
      </c>
    </row>
    <row r="63" customFormat="false" ht="23.85" hidden="false" customHeight="false" outlineLevel="0" collapsed="false">
      <c r="A63" s="6" t="s">
        <v>308</v>
      </c>
      <c r="B63" s="9" t="s">
        <v>309</v>
      </c>
      <c r="C63" s="9" t="s">
        <v>52</v>
      </c>
      <c r="D63" s="6" t="s">
        <v>109</v>
      </c>
      <c r="E63" s="6" t="s">
        <v>1226</v>
      </c>
      <c r="F63" s="6" t="s">
        <v>1227</v>
      </c>
      <c r="G63" s="10" t="n">
        <v>84.7</v>
      </c>
      <c r="H63" s="9" t="s">
        <v>1228</v>
      </c>
      <c r="I63" s="6" t="s">
        <v>950</v>
      </c>
      <c r="J63" s="6"/>
      <c r="K63" s="6" t="s">
        <v>1229</v>
      </c>
      <c r="L63" s="6" t="s">
        <v>1230</v>
      </c>
      <c r="M63" s="9" t="s">
        <v>444</v>
      </c>
      <c r="N63" s="9" t="s">
        <v>750</v>
      </c>
      <c r="O63" s="12" t="s">
        <v>751</v>
      </c>
    </row>
    <row r="64" customFormat="false" ht="28.35" hidden="false" customHeight="false" outlineLevel="0" collapsed="false">
      <c r="A64" s="6" t="s">
        <v>243</v>
      </c>
      <c r="B64" s="9" t="s">
        <v>244</v>
      </c>
      <c r="C64" s="9" t="s">
        <v>52</v>
      </c>
      <c r="D64" s="6" t="s">
        <v>246</v>
      </c>
      <c r="E64" s="6" t="s">
        <v>1231</v>
      </c>
      <c r="F64" s="11" t="s">
        <v>1232</v>
      </c>
      <c r="G64" s="10" t="n">
        <v>70.2</v>
      </c>
      <c r="H64" s="9" t="s">
        <v>844</v>
      </c>
      <c r="I64" s="6" t="s">
        <v>950</v>
      </c>
      <c r="J64" s="6"/>
      <c r="K64" s="6" t="s">
        <v>1233</v>
      </c>
      <c r="L64" s="6" t="s">
        <v>1234</v>
      </c>
      <c r="M64" s="9" t="s">
        <v>444</v>
      </c>
      <c r="N64" s="9" t="s">
        <v>678</v>
      </c>
      <c r="O64" s="12" t="s">
        <v>679</v>
      </c>
    </row>
    <row r="65" customFormat="false" ht="23.85" hidden="false" customHeight="false" outlineLevel="0" collapsed="false">
      <c r="A65" s="6" t="s">
        <v>61</v>
      </c>
      <c r="B65" s="9" t="s">
        <v>62</v>
      </c>
      <c r="C65" s="9" t="s">
        <v>64</v>
      </c>
      <c r="D65" s="6" t="s">
        <v>65</v>
      </c>
      <c r="E65" s="6" t="s">
        <v>1235</v>
      </c>
      <c r="F65" s="6" t="s">
        <v>1236</v>
      </c>
      <c r="G65" s="10" t="n">
        <v>69.4</v>
      </c>
      <c r="H65" s="9" t="s">
        <v>1237</v>
      </c>
      <c r="I65" s="6" t="s">
        <v>950</v>
      </c>
      <c r="J65" s="6"/>
      <c r="K65" s="6" t="s">
        <v>1125</v>
      </c>
      <c r="L65" s="6" t="s">
        <v>1238</v>
      </c>
      <c r="M65" s="9" t="s">
        <v>444</v>
      </c>
      <c r="N65" s="9" t="s">
        <v>588</v>
      </c>
      <c r="O65" s="12" t="s">
        <v>589</v>
      </c>
    </row>
    <row r="66" customFormat="false" ht="23.85" hidden="false" customHeight="false" outlineLevel="0" collapsed="false">
      <c r="A66" s="6" t="s">
        <v>114</v>
      </c>
      <c r="B66" s="9" t="s">
        <v>115</v>
      </c>
      <c r="C66" s="9" t="s">
        <v>64</v>
      </c>
      <c r="D66" s="6" t="s">
        <v>88</v>
      </c>
      <c r="E66" s="6" t="s">
        <v>1239</v>
      </c>
      <c r="F66" s="6" t="s">
        <v>1240</v>
      </c>
      <c r="G66" s="10" t="n">
        <v>65.9</v>
      </c>
      <c r="H66" s="9" t="s">
        <v>1241</v>
      </c>
      <c r="I66" s="6" t="s">
        <v>925</v>
      </c>
      <c r="J66" s="6"/>
      <c r="K66" s="6" t="s">
        <v>1242</v>
      </c>
      <c r="L66" s="6" t="s">
        <v>1243</v>
      </c>
      <c r="M66" s="9" t="s">
        <v>444</v>
      </c>
      <c r="N66" s="9" t="s">
        <v>816</v>
      </c>
      <c r="O66" s="12" t="s">
        <v>817</v>
      </c>
    </row>
    <row r="67" customFormat="false" ht="23.85" hidden="false" customHeight="false" outlineLevel="0" collapsed="false">
      <c r="A67" s="6" t="s">
        <v>217</v>
      </c>
      <c r="B67" s="9" t="s">
        <v>218</v>
      </c>
      <c r="C67" s="9" t="s">
        <v>52</v>
      </c>
      <c r="D67" s="6" t="s">
        <v>220</v>
      </c>
      <c r="E67" s="6" t="s">
        <v>1244</v>
      </c>
      <c r="F67" s="6" t="s">
        <v>1245</v>
      </c>
      <c r="G67" s="10" t="n">
        <v>50.1</v>
      </c>
      <c r="H67" s="9" t="s">
        <v>1246</v>
      </c>
      <c r="I67" s="6" t="s">
        <v>955</v>
      </c>
      <c r="J67" s="6"/>
      <c r="K67" s="6" t="s">
        <v>1247</v>
      </c>
      <c r="L67" s="6" t="s">
        <v>1248</v>
      </c>
      <c r="M67" s="9" t="s">
        <v>444</v>
      </c>
      <c r="N67" s="9" t="s">
        <v>1249</v>
      </c>
      <c r="O67" s="12" t="s">
        <v>1250</v>
      </c>
    </row>
    <row r="68" customFormat="false" ht="23.85" hidden="false" customHeight="false" outlineLevel="0" collapsed="false">
      <c r="A68" s="6" t="s">
        <v>129</v>
      </c>
      <c r="B68" s="9" t="s">
        <v>130</v>
      </c>
      <c r="C68" s="9" t="s">
        <v>64</v>
      </c>
      <c r="D68" s="6" t="s">
        <v>132</v>
      </c>
      <c r="E68" s="6" t="s">
        <v>1251</v>
      </c>
      <c r="F68" s="6" t="s">
        <v>1252</v>
      </c>
      <c r="G68" s="10" t="n">
        <v>45.9</v>
      </c>
      <c r="H68" s="9" t="s">
        <v>1253</v>
      </c>
      <c r="I68" s="6" t="s">
        <v>955</v>
      </c>
      <c r="J68" s="6"/>
      <c r="K68" s="6" t="s">
        <v>1254</v>
      </c>
      <c r="L68" s="6" t="s">
        <v>1255</v>
      </c>
      <c r="M68" s="9" t="s">
        <v>444</v>
      </c>
      <c r="N68" s="9" t="s">
        <v>852</v>
      </c>
      <c r="O68" s="12" t="s">
        <v>853</v>
      </c>
    </row>
    <row r="69" customFormat="false" ht="23.85" hidden="false" customHeight="false" outlineLevel="0" collapsed="false">
      <c r="A69" s="6" t="s">
        <v>142</v>
      </c>
      <c r="B69" s="9" t="s">
        <v>143</v>
      </c>
      <c r="C69" s="9" t="s">
        <v>52</v>
      </c>
      <c r="D69" s="6" t="s">
        <v>145</v>
      </c>
      <c r="E69" s="6" t="s">
        <v>1256</v>
      </c>
      <c r="F69" s="6" t="s">
        <v>1257</v>
      </c>
      <c r="G69" s="10" t="n">
        <v>42.3</v>
      </c>
      <c r="H69" s="9" t="s">
        <v>1258</v>
      </c>
      <c r="I69" s="6" t="s">
        <v>950</v>
      </c>
      <c r="J69" s="6"/>
      <c r="K69" s="6" t="s">
        <v>1135</v>
      </c>
      <c r="L69" s="6" t="s">
        <v>1259</v>
      </c>
      <c r="M69" s="9" t="s">
        <v>444</v>
      </c>
      <c r="N69" s="9" t="s">
        <v>756</v>
      </c>
      <c r="O69" s="12" t="s">
        <v>757</v>
      </c>
    </row>
    <row r="70" customFormat="false" ht="23.85" hidden="false" customHeight="false" outlineLevel="0" collapsed="false">
      <c r="A70" s="9" t="s">
        <v>81</v>
      </c>
      <c r="B70" s="9" t="s">
        <v>82</v>
      </c>
      <c r="C70" s="9" t="s">
        <v>52</v>
      </c>
      <c r="D70" s="9" t="s">
        <v>84</v>
      </c>
      <c r="E70" s="6" t="s">
        <v>1260</v>
      </c>
      <c r="F70" s="6" t="s">
        <v>1261</v>
      </c>
      <c r="G70" s="10" t="n">
        <v>39.4</v>
      </c>
      <c r="H70" s="9" t="s">
        <v>1262</v>
      </c>
      <c r="I70" s="6" t="s">
        <v>955</v>
      </c>
      <c r="J70" s="6"/>
      <c r="K70" s="6" t="s">
        <v>1263</v>
      </c>
      <c r="L70" s="6" t="s">
        <v>1264</v>
      </c>
      <c r="M70" s="9" t="s">
        <v>444</v>
      </c>
      <c r="N70" s="9" t="s">
        <v>870</v>
      </c>
      <c r="O70" s="12" t="s">
        <v>871</v>
      </c>
    </row>
    <row r="71" customFormat="false" ht="23.85" hidden="false" customHeight="false" outlineLevel="0" collapsed="false">
      <c r="A71" s="6" t="s">
        <v>384</v>
      </c>
      <c r="B71" s="9" t="s">
        <v>385</v>
      </c>
      <c r="C71" s="9" t="s">
        <v>64</v>
      </c>
      <c r="D71" s="6" t="s">
        <v>99</v>
      </c>
      <c r="E71" s="6" t="s">
        <v>1265</v>
      </c>
      <c r="F71" s="6" t="s">
        <v>1266</v>
      </c>
      <c r="G71" s="10" t="n">
        <v>35.3</v>
      </c>
      <c r="H71" s="9" t="s">
        <v>1267</v>
      </c>
      <c r="I71" s="6" t="s">
        <v>955</v>
      </c>
      <c r="J71" s="6"/>
      <c r="K71" s="6" t="s">
        <v>1268</v>
      </c>
      <c r="L71" s="6" t="s">
        <v>1269</v>
      </c>
      <c r="M71" s="9" t="s">
        <v>444</v>
      </c>
      <c r="N71" s="9" t="s">
        <v>690</v>
      </c>
      <c r="O71" s="12" t="s">
        <v>691</v>
      </c>
    </row>
    <row r="72" customFormat="false" ht="28.35" hidden="false" customHeight="false" outlineLevel="0" collapsed="false">
      <c r="A72" s="6" t="s">
        <v>269</v>
      </c>
      <c r="B72" s="9" t="s">
        <v>270</v>
      </c>
      <c r="C72" s="9" t="s">
        <v>64</v>
      </c>
      <c r="D72" s="6" t="s">
        <v>272</v>
      </c>
      <c r="E72" s="6" t="s">
        <v>1270</v>
      </c>
      <c r="F72" s="11" t="s">
        <v>1271</v>
      </c>
      <c r="G72" s="10" t="n">
        <v>35</v>
      </c>
      <c r="H72" s="9" t="s">
        <v>1267</v>
      </c>
      <c r="I72" s="6" t="s">
        <v>955</v>
      </c>
      <c r="J72" s="6"/>
      <c r="K72" s="6" t="s">
        <v>1272</v>
      </c>
      <c r="L72" s="6" t="s">
        <v>1269</v>
      </c>
      <c r="M72" s="9" t="s">
        <v>444</v>
      </c>
      <c r="N72" s="9" t="s">
        <v>576</v>
      </c>
      <c r="O72" s="12" t="s">
        <v>577</v>
      </c>
    </row>
    <row r="73" customFormat="false" ht="23.85" hidden="false" customHeight="false" outlineLevel="0" collapsed="false">
      <c r="A73" s="6" t="s">
        <v>150</v>
      </c>
      <c r="B73" s="9" t="s">
        <v>151</v>
      </c>
      <c r="C73" s="9" t="s">
        <v>64</v>
      </c>
      <c r="D73" s="6" t="s">
        <v>137</v>
      </c>
      <c r="E73" s="6" t="s">
        <v>1273</v>
      </c>
      <c r="F73" s="6" t="s">
        <v>1274</v>
      </c>
      <c r="G73" s="10" t="n">
        <v>30.4</v>
      </c>
      <c r="H73" s="9" t="s">
        <v>1275</v>
      </c>
      <c r="I73" s="6" t="s">
        <v>925</v>
      </c>
      <c r="J73" s="6"/>
      <c r="K73" s="6" t="s">
        <v>1276</v>
      </c>
      <c r="L73" s="6" t="s">
        <v>1277</v>
      </c>
      <c r="M73" s="9" t="s">
        <v>444</v>
      </c>
      <c r="N73" s="9" t="s">
        <v>858</v>
      </c>
      <c r="O73" s="12" t="s">
        <v>859</v>
      </c>
    </row>
    <row r="74" customFormat="false" ht="23.85" hidden="false" customHeight="false" outlineLevel="0" collapsed="false">
      <c r="A74" s="6" t="s">
        <v>348</v>
      </c>
      <c r="B74" s="9" t="s">
        <v>349</v>
      </c>
      <c r="C74" s="9" t="s">
        <v>64</v>
      </c>
      <c r="D74" s="6" t="s">
        <v>351</v>
      </c>
      <c r="E74" s="6" t="s">
        <v>1278</v>
      </c>
      <c r="F74" s="6" t="s">
        <v>1279</v>
      </c>
      <c r="G74" s="10" t="n">
        <v>27.1</v>
      </c>
      <c r="H74" s="9" t="s">
        <v>892</v>
      </c>
      <c r="I74" s="6" t="s">
        <v>955</v>
      </c>
      <c r="J74" s="6"/>
      <c r="K74" s="6" t="s">
        <v>1280</v>
      </c>
      <c r="L74" s="6" t="s">
        <v>1281</v>
      </c>
      <c r="M74" s="9" t="s">
        <v>444</v>
      </c>
      <c r="N74" s="9" t="s">
        <v>774</v>
      </c>
      <c r="O74" s="12" t="s">
        <v>775</v>
      </c>
    </row>
    <row r="75" customFormat="false" ht="23.85" hidden="false" customHeight="false" outlineLevel="0" collapsed="false">
      <c r="A75" s="6" t="s">
        <v>85</v>
      </c>
      <c r="B75" s="9" t="s">
        <v>86</v>
      </c>
      <c r="C75" s="9" t="s">
        <v>64</v>
      </c>
      <c r="D75" s="6" t="s">
        <v>88</v>
      </c>
      <c r="E75" s="6" t="s">
        <v>1282</v>
      </c>
      <c r="F75" s="6" t="s">
        <v>1283</v>
      </c>
      <c r="G75" s="10" t="n">
        <v>23.9</v>
      </c>
      <c r="H75" s="9" t="s">
        <v>1284</v>
      </c>
      <c r="I75" s="6" t="s">
        <v>955</v>
      </c>
      <c r="J75" s="6"/>
      <c r="K75" s="6" t="s">
        <v>1285</v>
      </c>
      <c r="L75" s="6" t="s">
        <v>1286</v>
      </c>
      <c r="M75" s="9" t="s">
        <v>444</v>
      </c>
      <c r="N75" s="9" t="s">
        <v>876</v>
      </c>
      <c r="O75" s="12" t="s">
        <v>877</v>
      </c>
    </row>
    <row r="76" customFormat="false" ht="23.85" hidden="false" customHeight="false" outlineLevel="0" collapsed="false">
      <c r="A76" s="6" t="s">
        <v>153</v>
      </c>
      <c r="B76" s="9" t="s">
        <v>154</v>
      </c>
      <c r="C76" s="9" t="s">
        <v>52</v>
      </c>
      <c r="D76" s="6" t="s">
        <v>149</v>
      </c>
      <c r="E76" s="6" t="s">
        <v>1287</v>
      </c>
      <c r="F76" s="6" t="s">
        <v>1288</v>
      </c>
      <c r="G76" s="10" t="n">
        <v>20.4</v>
      </c>
      <c r="H76" s="9" t="s">
        <v>1289</v>
      </c>
      <c r="I76" s="6" t="s">
        <v>955</v>
      </c>
      <c r="J76" s="6"/>
      <c r="K76" s="6" t="s">
        <v>1224</v>
      </c>
      <c r="L76" s="6" t="s">
        <v>1290</v>
      </c>
      <c r="M76" s="9" t="s">
        <v>444</v>
      </c>
      <c r="N76" s="9" t="s">
        <v>744</v>
      </c>
      <c r="O76" s="12" t="s">
        <v>745</v>
      </c>
    </row>
    <row r="77" customFormat="false" ht="23.85" hidden="false" customHeight="false" outlineLevel="0" collapsed="false">
      <c r="A77" s="9" t="s">
        <v>414</v>
      </c>
      <c r="B77" s="9" t="s">
        <v>415</v>
      </c>
      <c r="C77" s="9" t="s">
        <v>52</v>
      </c>
      <c r="D77" s="6" t="s">
        <v>199</v>
      </c>
      <c r="E77" s="6" t="s">
        <v>1291</v>
      </c>
      <c r="F77" s="6" t="s">
        <v>1292</v>
      </c>
      <c r="G77" s="10" t="n">
        <v>15.1</v>
      </c>
      <c r="H77" s="9" t="s">
        <v>1293</v>
      </c>
      <c r="I77" s="6" t="s">
        <v>950</v>
      </c>
      <c r="J77" s="6"/>
      <c r="K77" s="6" t="s">
        <v>1294</v>
      </c>
      <c r="L77" s="6" t="s">
        <v>1295</v>
      </c>
      <c r="M77" s="9" t="s">
        <v>444</v>
      </c>
      <c r="N77" s="9" t="s">
        <v>846</v>
      </c>
      <c r="O77" s="12" t="s">
        <v>847</v>
      </c>
    </row>
    <row r="78" customFormat="false" ht="28.35" hidden="false" customHeight="false" outlineLevel="0" collapsed="false">
      <c r="A78" s="6" t="s">
        <v>250</v>
      </c>
      <c r="B78" s="9" t="s">
        <v>251</v>
      </c>
      <c r="C78" s="9" t="s">
        <v>52</v>
      </c>
      <c r="D78" s="6" t="s">
        <v>253</v>
      </c>
      <c r="E78" s="6" t="s">
        <v>1296</v>
      </c>
      <c r="F78" s="11" t="s">
        <v>1297</v>
      </c>
      <c r="G78" s="10" t="n">
        <v>4.9</v>
      </c>
      <c r="H78" s="9" t="s">
        <v>1298</v>
      </c>
      <c r="I78" s="6" t="s">
        <v>950</v>
      </c>
      <c r="J78" s="6"/>
      <c r="K78" s="6" t="s">
        <v>1299</v>
      </c>
      <c r="L78" s="6" t="s">
        <v>1300</v>
      </c>
      <c r="M78" s="9" t="s">
        <v>444</v>
      </c>
      <c r="N78" s="9" t="s">
        <v>523</v>
      </c>
      <c r="O78" s="12" t="s">
        <v>524</v>
      </c>
    </row>
    <row r="79" customFormat="false" ht="28.35" hidden="false" customHeight="false" outlineLevel="0" collapsed="false">
      <c r="A79" s="6" t="s">
        <v>266</v>
      </c>
      <c r="B79" s="9" t="s">
        <v>267</v>
      </c>
      <c r="C79" s="9" t="s">
        <v>52</v>
      </c>
      <c r="D79" s="6" t="s">
        <v>99</v>
      </c>
      <c r="E79" s="6" t="s">
        <v>1301</v>
      </c>
      <c r="F79" s="11" t="s">
        <v>1302</v>
      </c>
      <c r="G79" s="10" t="n">
        <v>1.2</v>
      </c>
      <c r="H79" s="9" t="s">
        <v>1303</v>
      </c>
      <c r="I79" s="6" t="s">
        <v>950</v>
      </c>
      <c r="J79" s="6"/>
      <c r="K79" s="6" t="s">
        <v>1304</v>
      </c>
      <c r="L79" s="6" t="s">
        <v>1305</v>
      </c>
      <c r="M79" s="9" t="s">
        <v>444</v>
      </c>
      <c r="N79" s="9" t="s">
        <v>630</v>
      </c>
      <c r="O79" s="12" t="s">
        <v>631</v>
      </c>
    </row>
  </sheetData>
  <autoFilter ref="A4:O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8.35"/>
    <col collapsed="false" customWidth="true" hidden="false" outlineLevel="0" max="3" min="3" style="0" width="7.51"/>
    <col collapsed="false" customWidth="true" hidden="false" outlineLevel="0" max="4" min="4" style="0" width="18.36"/>
    <col collapsed="false" customWidth="true" hidden="false" outlineLevel="0" max="5" min="5" style="0" width="33.38"/>
    <col collapsed="false" customWidth="true" hidden="false" outlineLevel="0" max="6" min="6" style="0" width="43.4"/>
    <col collapsed="false" customWidth="true" hidden="false" outlineLevel="0" max="7" min="7" style="0" width="12.52"/>
    <col collapsed="false" customWidth="true" hidden="false" outlineLevel="0" max="9" min="8" style="0" width="11.68"/>
    <col collapsed="false" customWidth="true" hidden="false" outlineLevel="0" max="10" min="10" style="0" width="10.02"/>
    <col collapsed="false" customWidth="true" hidden="false" outlineLevel="0" max="11" min="11" style="0" width="15.02"/>
    <col collapsed="false" customWidth="true" hidden="false" outlineLevel="0" max="12" min="12" style="0" width="35.05"/>
    <col collapsed="false" customWidth="true" hidden="false" outlineLevel="0" max="13" min="13" style="0" width="10.02"/>
    <col collapsed="false" customWidth="true" hidden="false" outlineLevel="0" max="14" min="14" style="0" width="13.35"/>
    <col collapsed="false" customWidth="true" hidden="false" outlineLevel="0" max="15" min="15" style="0" width="38.39"/>
  </cols>
  <sheetData>
    <row r="1" customFormat="false" ht="17.35" hidden="false" customHeight="false" outlineLevel="0" collapsed="false">
      <c r="A1" s="1" t="s">
        <v>1306</v>
      </c>
    </row>
    <row r="2" customFormat="false" ht="15" hidden="false" customHeight="false" outlineLevel="0" collapsed="false">
      <c r="A2" s="2" t="s">
        <v>1307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41</v>
      </c>
      <c r="D4" s="5" t="s">
        <v>42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  <c r="J4" s="5" t="s">
        <v>434</v>
      </c>
      <c r="K4" s="5" t="s">
        <v>435</v>
      </c>
      <c r="L4" s="5" t="s">
        <v>436</v>
      </c>
      <c r="M4" s="5" t="s">
        <v>2</v>
      </c>
      <c r="N4" s="5" t="s">
        <v>437</v>
      </c>
      <c r="O4" s="5" t="s">
        <v>438</v>
      </c>
    </row>
    <row r="5" customFormat="false" ht="23.85" hidden="false" customHeight="false" outlineLevel="0" collapsed="false">
      <c r="A5" s="6" t="s">
        <v>169</v>
      </c>
      <c r="B5" s="9" t="s">
        <v>170</v>
      </c>
      <c r="C5" s="9" t="s">
        <v>52</v>
      </c>
      <c r="D5" s="6" t="s">
        <v>172</v>
      </c>
      <c r="E5" s="6" t="s">
        <v>1308</v>
      </c>
      <c r="F5" s="9" t="s">
        <v>1309</v>
      </c>
      <c r="G5" s="10" t="n">
        <v>189209.9</v>
      </c>
      <c r="H5" s="9" t="s">
        <v>1310</v>
      </c>
      <c r="I5" s="6" t="s">
        <v>1311</v>
      </c>
      <c r="J5" s="6"/>
      <c r="K5" s="6" t="s">
        <v>1312</v>
      </c>
      <c r="L5" s="6" t="s">
        <v>1313</v>
      </c>
      <c r="M5" s="9" t="s">
        <v>444</v>
      </c>
      <c r="N5" s="9" t="s">
        <v>1314</v>
      </c>
      <c r="O5" s="12" t="s">
        <v>1315</v>
      </c>
    </row>
    <row r="6" customFormat="false" ht="23.85" hidden="false" customHeight="false" outlineLevel="0" collapsed="false">
      <c r="A6" s="9" t="s">
        <v>196</v>
      </c>
      <c r="B6" s="9" t="s">
        <v>197</v>
      </c>
      <c r="C6" s="9" t="s">
        <v>52</v>
      </c>
      <c r="D6" s="6" t="s">
        <v>199</v>
      </c>
      <c r="E6" s="6" t="s">
        <v>1316</v>
      </c>
      <c r="F6" s="9" t="s">
        <v>1317</v>
      </c>
      <c r="G6" s="10" t="n">
        <v>35633</v>
      </c>
      <c r="H6" s="9" t="s">
        <v>1318</v>
      </c>
      <c r="I6" s="6" t="s">
        <v>1311</v>
      </c>
      <c r="J6" s="6"/>
      <c r="K6" s="6" t="s">
        <v>1312</v>
      </c>
      <c r="L6" s="6" t="s">
        <v>1319</v>
      </c>
      <c r="M6" s="9" t="s">
        <v>444</v>
      </c>
      <c r="N6" s="9" t="s">
        <v>1320</v>
      </c>
      <c r="O6" s="12" t="s">
        <v>1321</v>
      </c>
    </row>
    <row r="7" customFormat="false" ht="23.85" hidden="false" customHeight="false" outlineLevel="0" collapsed="false">
      <c r="A7" s="6" t="s">
        <v>222</v>
      </c>
      <c r="B7" s="9" t="s">
        <v>223</v>
      </c>
      <c r="C7" s="9" t="s">
        <v>52</v>
      </c>
      <c r="D7" s="6" t="s">
        <v>145</v>
      </c>
      <c r="E7" s="6" t="s">
        <v>1322</v>
      </c>
      <c r="F7" s="9" t="s">
        <v>1323</v>
      </c>
      <c r="G7" s="10" t="n">
        <v>28955.4</v>
      </c>
      <c r="H7" s="9" t="s">
        <v>1324</v>
      </c>
      <c r="I7" s="6" t="s">
        <v>1311</v>
      </c>
      <c r="J7" s="6"/>
      <c r="K7" s="6" t="s">
        <v>1312</v>
      </c>
      <c r="L7" s="6" t="s">
        <v>1325</v>
      </c>
      <c r="M7" s="9" t="s">
        <v>444</v>
      </c>
      <c r="N7" s="9" t="s">
        <v>1326</v>
      </c>
      <c r="O7" s="12" t="s">
        <v>1327</v>
      </c>
    </row>
    <row r="8" customFormat="false" ht="23.85" hidden="false" customHeight="false" outlineLevel="0" collapsed="false">
      <c r="A8" s="6" t="s">
        <v>49</v>
      </c>
      <c r="B8" s="9" t="s">
        <v>50</v>
      </c>
      <c r="C8" s="9" t="s">
        <v>52</v>
      </c>
      <c r="D8" s="6" t="s">
        <v>53</v>
      </c>
      <c r="E8" s="6" t="s">
        <v>1328</v>
      </c>
      <c r="F8" s="9" t="s">
        <v>1329</v>
      </c>
      <c r="G8" s="10" t="n">
        <v>25886.4</v>
      </c>
      <c r="H8" s="9" t="s">
        <v>1330</v>
      </c>
      <c r="I8" s="6" t="s">
        <v>1311</v>
      </c>
      <c r="J8" s="6"/>
      <c r="K8" s="6" t="s">
        <v>1312</v>
      </c>
      <c r="L8" s="6" t="s">
        <v>1331</v>
      </c>
      <c r="M8" s="9" t="s">
        <v>444</v>
      </c>
      <c r="N8" s="9" t="s">
        <v>1332</v>
      </c>
      <c r="O8" s="12" t="s">
        <v>1333</v>
      </c>
    </row>
    <row r="9" customFormat="false" ht="23.85" hidden="false" customHeight="false" outlineLevel="0" collapsed="false">
      <c r="A9" s="9" t="s">
        <v>234</v>
      </c>
      <c r="B9" s="9" t="s">
        <v>235</v>
      </c>
      <c r="C9" s="9" t="s">
        <v>52</v>
      </c>
      <c r="D9" s="6" t="s">
        <v>237</v>
      </c>
      <c r="E9" s="6" t="s">
        <v>1334</v>
      </c>
      <c r="F9" s="9" t="s">
        <v>1335</v>
      </c>
      <c r="G9" s="10" t="n">
        <v>17186.3</v>
      </c>
      <c r="H9" s="9" t="s">
        <v>1336</v>
      </c>
      <c r="I9" s="6" t="s">
        <v>1311</v>
      </c>
      <c r="J9" s="6"/>
      <c r="K9" s="6" t="s">
        <v>1312</v>
      </c>
      <c r="L9" s="6" t="s">
        <v>1337</v>
      </c>
      <c r="M9" s="9" t="s">
        <v>444</v>
      </c>
      <c r="N9" s="9" t="s">
        <v>1338</v>
      </c>
      <c r="O9" s="12" t="s">
        <v>1339</v>
      </c>
    </row>
    <row r="10" customFormat="false" ht="23.85" hidden="false" customHeight="false" outlineLevel="0" collapsed="false">
      <c r="A10" s="6" t="s">
        <v>208</v>
      </c>
      <c r="B10" s="9" t="s">
        <v>209</v>
      </c>
      <c r="C10" s="9" t="s">
        <v>52</v>
      </c>
      <c r="D10" s="9" t="s">
        <v>211</v>
      </c>
      <c r="E10" s="6" t="s">
        <v>1340</v>
      </c>
      <c r="F10" s="9" t="s">
        <v>1341</v>
      </c>
      <c r="G10" s="10" t="n">
        <v>14383.4</v>
      </c>
      <c r="H10" s="9" t="s">
        <v>521</v>
      </c>
      <c r="I10" s="6" t="s">
        <v>1311</v>
      </c>
      <c r="J10" s="6"/>
      <c r="K10" s="6" t="s">
        <v>1312</v>
      </c>
      <c r="L10" s="6" t="s">
        <v>1342</v>
      </c>
      <c r="M10" s="9" t="s">
        <v>444</v>
      </c>
      <c r="N10" s="9" t="s">
        <v>1343</v>
      </c>
      <c r="O10" s="12" t="s">
        <v>1344</v>
      </c>
    </row>
    <row r="11" customFormat="false" ht="23.85" hidden="false" customHeight="false" outlineLevel="0" collapsed="false">
      <c r="A11" s="6" t="s">
        <v>178</v>
      </c>
      <c r="B11" s="9" t="s">
        <v>179</v>
      </c>
      <c r="C11" s="9" t="s">
        <v>52</v>
      </c>
      <c r="D11" s="6" t="s">
        <v>181</v>
      </c>
      <c r="E11" s="6" t="s">
        <v>1345</v>
      </c>
      <c r="F11" s="9" t="s">
        <v>1346</v>
      </c>
      <c r="G11" s="10" t="n">
        <v>9366.8</v>
      </c>
      <c r="H11" s="9" t="s">
        <v>1347</v>
      </c>
      <c r="I11" s="6" t="s">
        <v>1311</v>
      </c>
      <c r="J11" s="6"/>
      <c r="K11" s="6" t="s">
        <v>1312</v>
      </c>
      <c r="L11" s="6" t="s">
        <v>1348</v>
      </c>
      <c r="M11" s="9" t="s">
        <v>444</v>
      </c>
      <c r="N11" s="9" t="s">
        <v>1349</v>
      </c>
      <c r="O11" s="12" t="s">
        <v>1350</v>
      </c>
    </row>
    <row r="12" customFormat="false" ht="23.85" hidden="false" customHeight="false" outlineLevel="0" collapsed="false">
      <c r="A12" s="6" t="s">
        <v>182</v>
      </c>
      <c r="B12" s="9" t="s">
        <v>183</v>
      </c>
      <c r="C12" s="9" t="s">
        <v>52</v>
      </c>
      <c r="D12" s="6" t="s">
        <v>181</v>
      </c>
      <c r="E12" s="6" t="s">
        <v>1351</v>
      </c>
      <c r="F12" s="9" t="s">
        <v>1352</v>
      </c>
      <c r="G12" s="10" t="n">
        <v>9317.2</v>
      </c>
      <c r="H12" s="9" t="s">
        <v>1353</v>
      </c>
      <c r="I12" s="6" t="s">
        <v>1311</v>
      </c>
      <c r="J12" s="6"/>
      <c r="K12" s="6" t="s">
        <v>1312</v>
      </c>
      <c r="L12" s="6" t="s">
        <v>1354</v>
      </c>
      <c r="M12" s="9" t="s">
        <v>444</v>
      </c>
      <c r="N12" s="9" t="s">
        <v>1355</v>
      </c>
      <c r="O12" s="12" t="s">
        <v>1356</v>
      </c>
    </row>
    <row r="13" customFormat="false" ht="23.85" hidden="false" customHeight="false" outlineLevel="0" collapsed="false">
      <c r="A13" s="6" t="s">
        <v>189</v>
      </c>
      <c r="B13" s="9" t="s">
        <v>190</v>
      </c>
      <c r="C13" s="9" t="s">
        <v>52</v>
      </c>
      <c r="D13" s="6" t="s">
        <v>120</v>
      </c>
      <c r="E13" s="6" t="s">
        <v>1357</v>
      </c>
      <c r="F13" s="9" t="s">
        <v>1358</v>
      </c>
      <c r="G13" s="10" t="n">
        <v>7903.5</v>
      </c>
      <c r="H13" s="9" t="s">
        <v>1359</v>
      </c>
      <c r="I13" s="6" t="s">
        <v>1311</v>
      </c>
      <c r="J13" s="6"/>
      <c r="K13" s="6" t="s">
        <v>1312</v>
      </c>
      <c r="L13" s="6" t="s">
        <v>1360</v>
      </c>
      <c r="M13" s="9" t="s">
        <v>444</v>
      </c>
      <c r="N13" s="9" t="s">
        <v>1361</v>
      </c>
      <c r="O13" s="12" t="s">
        <v>1362</v>
      </c>
    </row>
    <row r="14" customFormat="false" ht="23.85" hidden="false" customHeight="false" outlineLevel="0" collapsed="false">
      <c r="A14" s="6" t="s">
        <v>217</v>
      </c>
      <c r="B14" s="9" t="s">
        <v>218</v>
      </c>
      <c r="C14" s="9" t="s">
        <v>52</v>
      </c>
      <c r="D14" s="6" t="s">
        <v>220</v>
      </c>
      <c r="E14" s="6" t="s">
        <v>1363</v>
      </c>
      <c r="F14" s="9" t="s">
        <v>1364</v>
      </c>
      <c r="G14" s="10" t="n">
        <v>4426.5</v>
      </c>
      <c r="H14" s="9" t="s">
        <v>1365</v>
      </c>
      <c r="I14" s="6" t="s">
        <v>1311</v>
      </c>
      <c r="J14" s="6"/>
      <c r="K14" s="6" t="s">
        <v>1312</v>
      </c>
      <c r="L14" s="6" t="s">
        <v>1366</v>
      </c>
      <c r="M14" s="9" t="s">
        <v>444</v>
      </c>
      <c r="N14" s="9" t="s">
        <v>1367</v>
      </c>
      <c r="O14" s="12" t="s">
        <v>1368</v>
      </c>
    </row>
    <row r="15" customFormat="false" ht="23.85" hidden="false" customHeight="false" outlineLevel="0" collapsed="false">
      <c r="A15" s="9" t="s">
        <v>407</v>
      </c>
      <c r="B15" s="9" t="s">
        <v>408</v>
      </c>
      <c r="C15" s="9" t="s">
        <v>52</v>
      </c>
      <c r="D15" s="6" t="s">
        <v>410</v>
      </c>
      <c r="E15" s="6" t="s">
        <v>1369</v>
      </c>
      <c r="F15" s="9" t="s">
        <v>1370</v>
      </c>
      <c r="G15" s="10" t="n">
        <v>4190.7</v>
      </c>
      <c r="H15" s="9" t="s">
        <v>1371</v>
      </c>
      <c r="I15" s="6" t="s">
        <v>1311</v>
      </c>
      <c r="J15" s="6"/>
      <c r="K15" s="6" t="s">
        <v>1312</v>
      </c>
      <c r="L15" s="6" t="s">
        <v>1372</v>
      </c>
      <c r="M15" s="9" t="s">
        <v>444</v>
      </c>
      <c r="N15" s="9" t="s">
        <v>1373</v>
      </c>
      <c r="O15" s="12" t="s">
        <v>1374</v>
      </c>
    </row>
    <row r="16" customFormat="false" ht="23.85" hidden="false" customHeight="false" outlineLevel="0" collapsed="false">
      <c r="A16" s="6" t="s">
        <v>296</v>
      </c>
      <c r="B16" s="9" t="s">
        <v>297</v>
      </c>
      <c r="C16" s="9" t="s">
        <v>52</v>
      </c>
      <c r="D16" s="6" t="s">
        <v>237</v>
      </c>
      <c r="E16" s="6" t="s">
        <v>1375</v>
      </c>
      <c r="F16" s="9" t="s">
        <v>1376</v>
      </c>
      <c r="G16" s="10" t="n">
        <v>3831.7</v>
      </c>
      <c r="H16" s="9" t="s">
        <v>1377</v>
      </c>
      <c r="I16" s="6" t="s">
        <v>1311</v>
      </c>
      <c r="J16" s="6"/>
      <c r="K16" s="6" t="s">
        <v>1312</v>
      </c>
      <c r="L16" s="6" t="s">
        <v>1378</v>
      </c>
      <c r="M16" s="9" t="s">
        <v>444</v>
      </c>
      <c r="N16" s="9" t="s">
        <v>1379</v>
      </c>
      <c r="O16" s="12" t="s">
        <v>1380</v>
      </c>
    </row>
    <row r="17" customFormat="false" ht="23.85" hidden="false" customHeight="false" outlineLevel="0" collapsed="false">
      <c r="A17" s="6" t="s">
        <v>341</v>
      </c>
      <c r="B17" s="9" t="s">
        <v>342</v>
      </c>
      <c r="C17" s="9" t="s">
        <v>52</v>
      </c>
      <c r="D17" s="6" t="s">
        <v>237</v>
      </c>
      <c r="E17" s="6" t="s">
        <v>1381</v>
      </c>
      <c r="F17" s="9" t="s">
        <v>1382</v>
      </c>
      <c r="G17" s="10" t="n">
        <v>2499</v>
      </c>
      <c r="H17" s="9" t="s">
        <v>1383</v>
      </c>
      <c r="I17" s="6" t="s">
        <v>1311</v>
      </c>
      <c r="J17" s="6"/>
      <c r="K17" s="6" t="s">
        <v>1312</v>
      </c>
      <c r="L17" s="6" t="s">
        <v>1384</v>
      </c>
      <c r="M17" s="9" t="s">
        <v>444</v>
      </c>
      <c r="N17" s="9" t="s">
        <v>1385</v>
      </c>
      <c r="O17" s="12" t="s">
        <v>1386</v>
      </c>
    </row>
    <row r="18" customFormat="false" ht="23.85" hidden="false" customHeight="false" outlineLevel="0" collapsed="false">
      <c r="A18" s="6" t="s">
        <v>231</v>
      </c>
      <c r="B18" s="9" t="s">
        <v>232</v>
      </c>
      <c r="C18" s="9" t="s">
        <v>52</v>
      </c>
      <c r="D18" s="6" t="s">
        <v>65</v>
      </c>
      <c r="E18" s="6" t="s">
        <v>1387</v>
      </c>
      <c r="F18" s="9" t="s">
        <v>1388</v>
      </c>
      <c r="G18" s="10" t="n">
        <v>2444.5</v>
      </c>
      <c r="H18" s="9" t="s">
        <v>1389</v>
      </c>
      <c r="I18" s="6" t="s">
        <v>1311</v>
      </c>
      <c r="J18" s="6"/>
      <c r="K18" s="6" t="s">
        <v>1312</v>
      </c>
      <c r="L18" s="6" t="s">
        <v>1390</v>
      </c>
      <c r="M18" s="9" t="s">
        <v>444</v>
      </c>
      <c r="N18" s="9" t="s">
        <v>1391</v>
      </c>
      <c r="O18" s="12" t="s">
        <v>1392</v>
      </c>
    </row>
    <row r="19" customFormat="false" ht="23.85" hidden="false" customHeight="false" outlineLevel="0" collapsed="false">
      <c r="A19" s="6" t="s">
        <v>335</v>
      </c>
      <c r="B19" s="9" t="s">
        <v>336</v>
      </c>
      <c r="C19" s="9" t="s">
        <v>64</v>
      </c>
      <c r="D19" s="6" t="s">
        <v>88</v>
      </c>
      <c r="E19" s="6" t="s">
        <v>1393</v>
      </c>
      <c r="F19" s="9" t="s">
        <v>1394</v>
      </c>
      <c r="G19" s="10" t="n">
        <v>2113.5</v>
      </c>
      <c r="H19" s="9" t="s">
        <v>1395</v>
      </c>
      <c r="I19" s="6" t="s">
        <v>1311</v>
      </c>
      <c r="J19" s="6"/>
      <c r="K19" s="6" t="s">
        <v>1312</v>
      </c>
      <c r="L19" s="6" t="s">
        <v>1396</v>
      </c>
      <c r="M19" s="9" t="s">
        <v>444</v>
      </c>
      <c r="N19" s="9" t="s">
        <v>1397</v>
      </c>
      <c r="O19" s="12" t="s">
        <v>1398</v>
      </c>
    </row>
    <row r="20" customFormat="false" ht="23.85" hidden="false" customHeight="false" outlineLevel="0" collapsed="false">
      <c r="A20" s="6" t="s">
        <v>331</v>
      </c>
      <c r="B20" s="9" t="s">
        <v>332</v>
      </c>
      <c r="C20" s="9" t="s">
        <v>52</v>
      </c>
      <c r="D20" s="6" t="s">
        <v>334</v>
      </c>
      <c r="E20" s="6" t="s">
        <v>1399</v>
      </c>
      <c r="F20" s="9" t="s">
        <v>1400</v>
      </c>
      <c r="G20" s="10" t="n">
        <v>2078.9</v>
      </c>
      <c r="H20" s="9" t="s">
        <v>1401</v>
      </c>
      <c r="I20" s="6" t="s">
        <v>1311</v>
      </c>
      <c r="J20" s="6"/>
      <c r="K20" s="6" t="s">
        <v>1312</v>
      </c>
      <c r="L20" s="6" t="s">
        <v>1402</v>
      </c>
      <c r="M20" s="9" t="s">
        <v>444</v>
      </c>
      <c r="N20" s="9" t="s">
        <v>1403</v>
      </c>
      <c r="O20" s="12" t="s">
        <v>1404</v>
      </c>
    </row>
    <row r="21" customFormat="false" ht="23.85" hidden="false" customHeight="false" outlineLevel="0" collapsed="false">
      <c r="A21" s="9" t="s">
        <v>399</v>
      </c>
      <c r="B21" s="9" t="s">
        <v>400</v>
      </c>
      <c r="C21" s="9" t="s">
        <v>52</v>
      </c>
      <c r="D21" s="6" t="s">
        <v>149</v>
      </c>
      <c r="E21" s="6" t="s">
        <v>1405</v>
      </c>
      <c r="F21" s="9" t="s">
        <v>1406</v>
      </c>
      <c r="G21" s="10" t="n">
        <v>1454.1</v>
      </c>
      <c r="H21" s="9" t="s">
        <v>1407</v>
      </c>
      <c r="I21" s="6" t="s">
        <v>1311</v>
      </c>
      <c r="J21" s="6"/>
      <c r="K21" s="6" t="s">
        <v>1312</v>
      </c>
      <c r="L21" s="6" t="s">
        <v>1408</v>
      </c>
      <c r="M21" s="9" t="s">
        <v>444</v>
      </c>
      <c r="N21" s="9" t="s">
        <v>1409</v>
      </c>
      <c r="O21" s="12" t="s">
        <v>1410</v>
      </c>
    </row>
    <row r="22" customFormat="false" ht="23.85" hidden="false" customHeight="false" outlineLevel="0" collapsed="false">
      <c r="A22" s="6" t="s">
        <v>402</v>
      </c>
      <c r="B22" s="9" t="s">
        <v>403</v>
      </c>
      <c r="C22" s="9" t="s">
        <v>64</v>
      </c>
      <c r="D22" s="6" t="s">
        <v>405</v>
      </c>
      <c r="E22" s="6" t="s">
        <v>1411</v>
      </c>
      <c r="F22" s="9" t="s">
        <v>1412</v>
      </c>
      <c r="G22" s="10" t="n">
        <v>1314.3</v>
      </c>
      <c r="H22" s="9" t="s">
        <v>1413</v>
      </c>
      <c r="I22" s="6" t="s">
        <v>1311</v>
      </c>
      <c r="J22" s="6"/>
      <c r="K22" s="6" t="s">
        <v>1312</v>
      </c>
      <c r="L22" s="6" t="s">
        <v>1414</v>
      </c>
      <c r="M22" s="9" t="s">
        <v>1119</v>
      </c>
      <c r="N22" s="9" t="s">
        <v>1415</v>
      </c>
      <c r="O22" s="12" t="s">
        <v>1416</v>
      </c>
    </row>
    <row r="23" customFormat="false" ht="23.85" hidden="false" customHeight="false" outlineLevel="0" collapsed="false">
      <c r="A23" s="9" t="s">
        <v>411</v>
      </c>
      <c r="B23" s="9" t="s">
        <v>412</v>
      </c>
      <c r="C23" s="9" t="s">
        <v>52</v>
      </c>
      <c r="D23" s="6" t="s">
        <v>65</v>
      </c>
      <c r="E23" s="6" t="s">
        <v>1417</v>
      </c>
      <c r="F23" s="9" t="s">
        <v>1418</v>
      </c>
      <c r="G23" s="10" t="n">
        <v>935.1</v>
      </c>
      <c r="H23" s="9" t="s">
        <v>1419</v>
      </c>
      <c r="I23" s="6" t="s">
        <v>1311</v>
      </c>
      <c r="J23" s="6"/>
      <c r="K23" s="6" t="s">
        <v>1312</v>
      </c>
      <c r="L23" s="6" t="s">
        <v>1420</v>
      </c>
      <c r="M23" s="9" t="s">
        <v>444</v>
      </c>
      <c r="N23" s="9" t="s">
        <v>1421</v>
      </c>
      <c r="O23" s="12" t="s">
        <v>1422</v>
      </c>
    </row>
    <row r="24" customFormat="false" ht="23.85" hidden="false" customHeight="false" outlineLevel="0" collapsed="false">
      <c r="A24" s="6" t="s">
        <v>390</v>
      </c>
      <c r="B24" s="9" t="s">
        <v>391</v>
      </c>
      <c r="C24" s="9" t="s">
        <v>52</v>
      </c>
      <c r="D24" s="6" t="s">
        <v>393</v>
      </c>
      <c r="E24" s="6" t="s">
        <v>1423</v>
      </c>
      <c r="F24" s="9" t="s">
        <v>1424</v>
      </c>
      <c r="G24" s="10" t="n">
        <v>914.8</v>
      </c>
      <c r="H24" s="9" t="s">
        <v>1425</v>
      </c>
      <c r="I24" s="6" t="s">
        <v>1311</v>
      </c>
      <c r="J24" s="6"/>
      <c r="K24" s="6" t="s">
        <v>1312</v>
      </c>
      <c r="L24" s="6" t="s">
        <v>1426</v>
      </c>
      <c r="M24" s="9" t="s">
        <v>444</v>
      </c>
      <c r="N24" s="9" t="s">
        <v>1427</v>
      </c>
      <c r="O24" s="12" t="s">
        <v>1428</v>
      </c>
    </row>
    <row r="25" customFormat="false" ht="23.85" hidden="false" customHeight="false" outlineLevel="0" collapsed="false">
      <c r="A25" s="9" t="s">
        <v>81</v>
      </c>
      <c r="B25" s="9" t="s">
        <v>82</v>
      </c>
      <c r="C25" s="9" t="s">
        <v>52</v>
      </c>
      <c r="D25" s="9" t="s">
        <v>84</v>
      </c>
      <c r="E25" s="6" t="s">
        <v>1429</v>
      </c>
      <c r="F25" s="9" t="s">
        <v>1430</v>
      </c>
      <c r="G25" s="10" t="n">
        <v>890.9</v>
      </c>
      <c r="H25" s="9" t="s">
        <v>1431</v>
      </c>
      <c r="I25" s="6" t="s">
        <v>1311</v>
      </c>
      <c r="J25" s="6"/>
      <c r="K25" s="6" t="s">
        <v>1312</v>
      </c>
      <c r="L25" s="6" t="s">
        <v>1432</v>
      </c>
      <c r="M25" s="9" t="s">
        <v>444</v>
      </c>
      <c r="N25" s="9" t="s">
        <v>1433</v>
      </c>
      <c r="O25" s="12" t="s">
        <v>1434</v>
      </c>
    </row>
    <row r="26" customFormat="false" ht="23.85" hidden="false" customHeight="false" outlineLevel="0" collapsed="false">
      <c r="A26" s="6" t="s">
        <v>345</v>
      </c>
      <c r="B26" s="9" t="s">
        <v>346</v>
      </c>
      <c r="C26" s="9" t="s">
        <v>52</v>
      </c>
      <c r="D26" s="6" t="s">
        <v>93</v>
      </c>
      <c r="E26" s="6" t="s">
        <v>1435</v>
      </c>
      <c r="F26" s="9" t="s">
        <v>1436</v>
      </c>
      <c r="G26" s="10" t="n">
        <v>828.7</v>
      </c>
      <c r="H26" s="9" t="s">
        <v>1437</v>
      </c>
      <c r="I26" s="6" t="s">
        <v>1311</v>
      </c>
      <c r="J26" s="6"/>
      <c r="K26" s="6" t="s">
        <v>1312</v>
      </c>
      <c r="L26" s="6" t="s">
        <v>1438</v>
      </c>
      <c r="M26" s="9" t="s">
        <v>444</v>
      </c>
      <c r="N26" s="9" t="s">
        <v>1439</v>
      </c>
      <c r="O26" s="12" t="s">
        <v>1440</v>
      </c>
    </row>
    <row r="27" customFormat="false" ht="23.85" hidden="false" customHeight="false" outlineLevel="0" collapsed="false">
      <c r="A27" s="6" t="s">
        <v>380</v>
      </c>
      <c r="B27" s="9" t="s">
        <v>381</v>
      </c>
      <c r="C27" s="9" t="s">
        <v>64</v>
      </c>
      <c r="D27" s="6" t="s">
        <v>88</v>
      </c>
      <c r="E27" s="6" t="s">
        <v>1441</v>
      </c>
      <c r="F27" s="9" t="s">
        <v>1442</v>
      </c>
      <c r="G27" s="10" t="n">
        <v>763</v>
      </c>
      <c r="H27" s="9" t="s">
        <v>682</v>
      </c>
      <c r="I27" s="6" t="s">
        <v>1311</v>
      </c>
      <c r="J27" s="6"/>
      <c r="K27" s="6" t="s">
        <v>1312</v>
      </c>
      <c r="L27" s="6" t="s">
        <v>1443</v>
      </c>
      <c r="M27" s="9" t="s">
        <v>444</v>
      </c>
      <c r="N27" s="9" t="s">
        <v>1444</v>
      </c>
      <c r="O27" s="12" t="s">
        <v>1445</v>
      </c>
    </row>
    <row r="28" customFormat="false" ht="23.85" hidden="false" customHeight="false" outlineLevel="0" collapsed="false">
      <c r="A28" s="6" t="s">
        <v>263</v>
      </c>
      <c r="B28" s="9" t="s">
        <v>264</v>
      </c>
      <c r="C28" s="9" t="s">
        <v>52</v>
      </c>
      <c r="D28" s="6" t="s">
        <v>60</v>
      </c>
      <c r="E28" s="6" t="s">
        <v>1446</v>
      </c>
      <c r="F28" s="9" t="s">
        <v>1447</v>
      </c>
      <c r="G28" s="10" t="n">
        <v>723.1</v>
      </c>
      <c r="H28" s="9" t="s">
        <v>1448</v>
      </c>
      <c r="I28" s="6" t="s">
        <v>1311</v>
      </c>
      <c r="J28" s="6"/>
      <c r="K28" s="6" t="s">
        <v>1312</v>
      </c>
      <c r="L28" s="6" t="s">
        <v>1449</v>
      </c>
      <c r="M28" s="9" t="s">
        <v>444</v>
      </c>
      <c r="N28" s="9" t="s">
        <v>1450</v>
      </c>
      <c r="O28" s="12" t="s">
        <v>1451</v>
      </c>
    </row>
    <row r="29" customFormat="false" ht="23.85" hidden="false" customHeight="false" outlineLevel="0" collapsed="false">
      <c r="A29" s="9" t="s">
        <v>280</v>
      </c>
      <c r="B29" s="9" t="s">
        <v>281</v>
      </c>
      <c r="C29" s="9" t="s">
        <v>52</v>
      </c>
      <c r="D29" s="6" t="s">
        <v>75</v>
      </c>
      <c r="E29" s="6" t="s">
        <v>1452</v>
      </c>
      <c r="F29" s="9" t="s">
        <v>1453</v>
      </c>
      <c r="G29" s="10" t="n">
        <v>711.1</v>
      </c>
      <c r="H29" s="9" t="s">
        <v>1454</v>
      </c>
      <c r="I29" s="6" t="s">
        <v>1311</v>
      </c>
      <c r="J29" s="6"/>
      <c r="K29" s="6" t="s">
        <v>1312</v>
      </c>
      <c r="L29" s="6" t="s">
        <v>1455</v>
      </c>
      <c r="M29" s="9" t="s">
        <v>444</v>
      </c>
      <c r="N29" s="9" t="s">
        <v>1456</v>
      </c>
      <c r="O29" s="12" t="s">
        <v>1457</v>
      </c>
    </row>
    <row r="30" customFormat="false" ht="23.85" hidden="false" customHeight="false" outlineLevel="0" collapsed="false">
      <c r="A30" s="6" t="s">
        <v>356</v>
      </c>
      <c r="B30" s="9" t="s">
        <v>357</v>
      </c>
      <c r="C30" s="9" t="s">
        <v>52</v>
      </c>
      <c r="D30" s="6" t="s">
        <v>93</v>
      </c>
      <c r="E30" s="6" t="s">
        <v>1458</v>
      </c>
      <c r="F30" s="9" t="s">
        <v>1459</v>
      </c>
      <c r="G30" s="10" t="n">
        <v>647.8</v>
      </c>
      <c r="H30" s="9" t="s">
        <v>1460</v>
      </c>
      <c r="I30" s="6" t="s">
        <v>1311</v>
      </c>
      <c r="J30" s="6"/>
      <c r="K30" s="6" t="s">
        <v>1312</v>
      </c>
      <c r="L30" s="6" t="s">
        <v>1461</v>
      </c>
      <c r="M30" s="9" t="s">
        <v>444</v>
      </c>
      <c r="N30" s="9" t="s">
        <v>1462</v>
      </c>
      <c r="O30" s="12" t="s">
        <v>1463</v>
      </c>
    </row>
    <row r="31" customFormat="false" ht="23.85" hidden="false" customHeight="false" outlineLevel="0" collapsed="false">
      <c r="A31" s="6" t="s">
        <v>138</v>
      </c>
      <c r="B31" s="9" t="s">
        <v>139</v>
      </c>
      <c r="C31" s="9" t="s">
        <v>52</v>
      </c>
      <c r="D31" s="6" t="s">
        <v>120</v>
      </c>
      <c r="E31" s="6" t="s">
        <v>1464</v>
      </c>
      <c r="F31" s="9" t="s">
        <v>1465</v>
      </c>
      <c r="G31" s="10" t="n">
        <v>643.2</v>
      </c>
      <c r="H31" s="9" t="s">
        <v>1466</v>
      </c>
      <c r="I31" s="6" t="s">
        <v>1311</v>
      </c>
      <c r="J31" s="6"/>
      <c r="K31" s="6" t="s">
        <v>1312</v>
      </c>
      <c r="L31" s="6" t="s">
        <v>1467</v>
      </c>
      <c r="M31" s="9" t="s">
        <v>444</v>
      </c>
      <c r="N31" s="9" t="s">
        <v>1468</v>
      </c>
      <c r="O31" s="12" t="s">
        <v>1469</v>
      </c>
    </row>
    <row r="32" customFormat="false" ht="23.85" hidden="false" customHeight="false" outlineLevel="0" collapsed="false">
      <c r="A32" s="6" t="s">
        <v>348</v>
      </c>
      <c r="B32" s="9" t="s">
        <v>349</v>
      </c>
      <c r="C32" s="9" t="s">
        <v>64</v>
      </c>
      <c r="D32" s="6" t="s">
        <v>351</v>
      </c>
      <c r="E32" s="6" t="s">
        <v>1470</v>
      </c>
      <c r="F32" s="9" t="s">
        <v>1471</v>
      </c>
      <c r="G32" s="10" t="n">
        <v>571.1</v>
      </c>
      <c r="H32" s="9" t="s">
        <v>1472</v>
      </c>
      <c r="I32" s="6" t="s">
        <v>1311</v>
      </c>
      <c r="J32" s="6"/>
      <c r="K32" s="6" t="s">
        <v>1312</v>
      </c>
      <c r="L32" s="6" t="s">
        <v>1473</v>
      </c>
      <c r="M32" s="9" t="s">
        <v>444</v>
      </c>
      <c r="N32" s="9" t="s">
        <v>1474</v>
      </c>
      <c r="O32" s="12" t="s">
        <v>1475</v>
      </c>
    </row>
    <row r="33" customFormat="false" ht="23.85" hidden="false" customHeight="false" outlineLevel="0" collapsed="false">
      <c r="A33" s="9" t="s">
        <v>371</v>
      </c>
      <c r="B33" s="9" t="s">
        <v>372</v>
      </c>
      <c r="C33" s="9" t="s">
        <v>52</v>
      </c>
      <c r="D33" s="6" t="s">
        <v>149</v>
      </c>
      <c r="E33" s="6" t="s">
        <v>1476</v>
      </c>
      <c r="F33" s="9" t="s">
        <v>1477</v>
      </c>
      <c r="G33" s="10" t="n">
        <v>532.5</v>
      </c>
      <c r="H33" s="9" t="s">
        <v>1478</v>
      </c>
      <c r="I33" s="6" t="s">
        <v>1311</v>
      </c>
      <c r="J33" s="6"/>
      <c r="K33" s="6" t="s">
        <v>1312</v>
      </c>
      <c r="L33" s="6" t="s">
        <v>1479</v>
      </c>
      <c r="M33" s="9" t="s">
        <v>444</v>
      </c>
      <c r="N33" s="9" t="s">
        <v>1480</v>
      </c>
      <c r="O33" s="12" t="s">
        <v>1481</v>
      </c>
    </row>
    <row r="34" customFormat="false" ht="23.85" hidden="false" customHeight="false" outlineLevel="0" collapsed="false">
      <c r="A34" s="6" t="s">
        <v>67</v>
      </c>
      <c r="B34" s="9" t="s">
        <v>68</v>
      </c>
      <c r="C34" s="9" t="s">
        <v>64</v>
      </c>
      <c r="D34" s="6" t="s">
        <v>70</v>
      </c>
      <c r="E34" s="6" t="s">
        <v>1482</v>
      </c>
      <c r="F34" s="9" t="s">
        <v>1483</v>
      </c>
      <c r="G34" s="10" t="n">
        <v>499.8</v>
      </c>
      <c r="H34" s="9" t="s">
        <v>1116</v>
      </c>
      <c r="I34" s="6" t="s">
        <v>1311</v>
      </c>
      <c r="J34" s="6"/>
      <c r="K34" s="6" t="s">
        <v>1312</v>
      </c>
      <c r="L34" s="6" t="s">
        <v>1484</v>
      </c>
      <c r="M34" s="9" t="s">
        <v>444</v>
      </c>
      <c r="N34" s="9" t="s">
        <v>1485</v>
      </c>
      <c r="O34" s="12" t="s">
        <v>1486</v>
      </c>
    </row>
    <row r="35" customFormat="false" ht="23.85" hidden="false" customHeight="false" outlineLevel="0" collapsed="false">
      <c r="A35" s="6" t="s">
        <v>125</v>
      </c>
      <c r="B35" s="9" t="s">
        <v>126</v>
      </c>
      <c r="C35" s="9" t="s">
        <v>52</v>
      </c>
      <c r="D35" s="6" t="s">
        <v>128</v>
      </c>
      <c r="E35" s="6" t="s">
        <v>1487</v>
      </c>
      <c r="F35" s="9" t="s">
        <v>1488</v>
      </c>
      <c r="G35" s="10" t="n">
        <v>464.5</v>
      </c>
      <c r="H35" s="9" t="s">
        <v>1489</v>
      </c>
      <c r="I35" s="6" t="s">
        <v>1311</v>
      </c>
      <c r="J35" s="6"/>
      <c r="K35" s="6" t="s">
        <v>1312</v>
      </c>
      <c r="L35" s="6" t="s">
        <v>1490</v>
      </c>
      <c r="M35" s="9" t="s">
        <v>444</v>
      </c>
      <c r="N35" s="9" t="s">
        <v>1491</v>
      </c>
      <c r="O35" s="12" t="s">
        <v>1492</v>
      </c>
    </row>
    <row r="36" customFormat="false" ht="23.85" hidden="false" customHeight="false" outlineLevel="0" collapsed="false">
      <c r="A36" s="6" t="s">
        <v>423</v>
      </c>
      <c r="B36" s="9" t="s">
        <v>424</v>
      </c>
      <c r="C36" s="9" t="s">
        <v>52</v>
      </c>
      <c r="D36" s="6" t="s">
        <v>65</v>
      </c>
      <c r="E36" s="6" t="s">
        <v>1493</v>
      </c>
      <c r="F36" s="9" t="s">
        <v>1494</v>
      </c>
      <c r="G36" s="10" t="n">
        <v>428.6</v>
      </c>
      <c r="H36" s="9" t="s">
        <v>736</v>
      </c>
      <c r="I36" s="6" t="s">
        <v>1311</v>
      </c>
      <c r="J36" s="6"/>
      <c r="K36" s="6" t="s">
        <v>1312</v>
      </c>
      <c r="L36" s="6" t="s">
        <v>1495</v>
      </c>
      <c r="M36" s="9" t="s">
        <v>444</v>
      </c>
      <c r="N36" s="9" t="s">
        <v>1496</v>
      </c>
      <c r="O36" s="12" t="s">
        <v>1497</v>
      </c>
    </row>
    <row r="37" customFormat="false" ht="23.85" hidden="false" customHeight="false" outlineLevel="0" collapsed="false">
      <c r="A37" s="9" t="s">
        <v>395</v>
      </c>
      <c r="B37" s="9" t="s">
        <v>396</v>
      </c>
      <c r="C37" s="9" t="s">
        <v>64</v>
      </c>
      <c r="D37" s="6" t="s">
        <v>398</v>
      </c>
      <c r="E37" s="6" t="s">
        <v>1498</v>
      </c>
      <c r="F37" s="9" t="s">
        <v>1499</v>
      </c>
      <c r="G37" s="10" t="n">
        <v>418.6</v>
      </c>
      <c r="H37" s="9" t="s">
        <v>1500</v>
      </c>
      <c r="I37" s="6" t="s">
        <v>1311</v>
      </c>
      <c r="J37" s="6"/>
      <c r="K37" s="6" t="s">
        <v>1312</v>
      </c>
      <c r="L37" s="6" t="s">
        <v>1501</v>
      </c>
      <c r="M37" s="9" t="s">
        <v>444</v>
      </c>
      <c r="N37" s="9" t="s">
        <v>1502</v>
      </c>
      <c r="O37" s="12" t="s">
        <v>1503</v>
      </c>
    </row>
    <row r="38" customFormat="false" ht="23.85" hidden="false" customHeight="false" outlineLevel="0" collapsed="false">
      <c r="A38" s="9" t="s">
        <v>106</v>
      </c>
      <c r="B38" s="9" t="s">
        <v>107</v>
      </c>
      <c r="C38" s="9" t="s">
        <v>52</v>
      </c>
      <c r="D38" s="6" t="s">
        <v>109</v>
      </c>
      <c r="E38" s="6" t="s">
        <v>1504</v>
      </c>
      <c r="F38" s="9" t="s">
        <v>1505</v>
      </c>
      <c r="G38" s="10" t="n">
        <v>400.3</v>
      </c>
      <c r="H38" s="9" t="s">
        <v>1506</v>
      </c>
      <c r="I38" s="6" t="s">
        <v>1311</v>
      </c>
      <c r="J38" s="6"/>
      <c r="K38" s="6" t="s">
        <v>1312</v>
      </c>
      <c r="L38" s="6" t="s">
        <v>1507</v>
      </c>
      <c r="M38" s="9" t="s">
        <v>444</v>
      </c>
      <c r="N38" s="9" t="s">
        <v>1508</v>
      </c>
      <c r="O38" s="12" t="s">
        <v>1509</v>
      </c>
    </row>
    <row r="39" customFormat="false" ht="23.85" hidden="false" customHeight="false" outlineLevel="0" collapsed="false">
      <c r="A39" s="9" t="s">
        <v>319</v>
      </c>
      <c r="B39" s="9" t="s">
        <v>320</v>
      </c>
      <c r="C39" s="9" t="s">
        <v>64</v>
      </c>
      <c r="D39" s="6" t="s">
        <v>88</v>
      </c>
      <c r="E39" s="6" t="s">
        <v>1510</v>
      </c>
      <c r="F39" s="9" t="s">
        <v>1511</v>
      </c>
      <c r="G39" s="10" t="n">
        <v>369.7</v>
      </c>
      <c r="H39" s="9" t="s">
        <v>1512</v>
      </c>
      <c r="I39" s="6" t="s">
        <v>1311</v>
      </c>
      <c r="J39" s="6"/>
      <c r="K39" s="6" t="s">
        <v>1312</v>
      </c>
      <c r="L39" s="6" t="s">
        <v>1513</v>
      </c>
      <c r="M39" s="9" t="s">
        <v>444</v>
      </c>
      <c r="N39" s="9" t="s">
        <v>1514</v>
      </c>
      <c r="O39" s="12" t="s">
        <v>1515</v>
      </c>
    </row>
    <row r="40" customFormat="false" ht="23.85" hidden="false" customHeight="false" outlineLevel="0" collapsed="false">
      <c r="A40" s="6" t="s">
        <v>304</v>
      </c>
      <c r="B40" s="9" t="s">
        <v>305</v>
      </c>
      <c r="C40" s="9" t="s">
        <v>64</v>
      </c>
      <c r="D40" s="6" t="s">
        <v>88</v>
      </c>
      <c r="E40" s="6" t="s">
        <v>1516</v>
      </c>
      <c r="F40" s="9" t="s">
        <v>1517</v>
      </c>
      <c r="G40" s="10" t="n">
        <v>365.8</v>
      </c>
      <c r="H40" s="9" t="s">
        <v>1518</v>
      </c>
      <c r="I40" s="6" t="s">
        <v>1311</v>
      </c>
      <c r="J40" s="6"/>
      <c r="K40" s="6" t="s">
        <v>1312</v>
      </c>
      <c r="L40" s="6" t="s">
        <v>1519</v>
      </c>
      <c r="M40" s="9" t="s">
        <v>444</v>
      </c>
      <c r="N40" s="9" t="s">
        <v>1520</v>
      </c>
      <c r="O40" s="12" t="s">
        <v>1521</v>
      </c>
    </row>
    <row r="41" customFormat="false" ht="23.85" hidden="false" customHeight="false" outlineLevel="0" collapsed="false">
      <c r="A41" s="9" t="s">
        <v>273</v>
      </c>
      <c r="B41" s="9" t="s">
        <v>274</v>
      </c>
      <c r="C41" s="9" t="s">
        <v>52</v>
      </c>
      <c r="D41" s="6" t="s">
        <v>109</v>
      </c>
      <c r="E41" s="6" t="s">
        <v>1522</v>
      </c>
      <c r="F41" s="9" t="s">
        <v>1523</v>
      </c>
      <c r="G41" s="10" t="n">
        <v>351.3</v>
      </c>
      <c r="H41" s="9" t="s">
        <v>1524</v>
      </c>
      <c r="I41" s="6" t="s">
        <v>1311</v>
      </c>
      <c r="J41" s="6"/>
      <c r="K41" s="6" t="s">
        <v>1312</v>
      </c>
      <c r="L41" s="6" t="s">
        <v>1525</v>
      </c>
      <c r="M41" s="9" t="s">
        <v>444</v>
      </c>
      <c r="N41" s="9" t="s">
        <v>1526</v>
      </c>
      <c r="O41" s="12" t="s">
        <v>1527</v>
      </c>
    </row>
    <row r="42" customFormat="false" ht="23.85" hidden="false" customHeight="false" outlineLevel="0" collapsed="false">
      <c r="A42" s="6" t="s">
        <v>283</v>
      </c>
      <c r="B42" s="9" t="s">
        <v>284</v>
      </c>
      <c r="C42" s="9" t="s">
        <v>64</v>
      </c>
      <c r="D42" s="6" t="s">
        <v>99</v>
      </c>
      <c r="E42" s="6" t="s">
        <v>1528</v>
      </c>
      <c r="F42" s="9" t="s">
        <v>1529</v>
      </c>
      <c r="G42" s="10" t="n">
        <v>330.2</v>
      </c>
      <c r="H42" s="9" t="s">
        <v>1530</v>
      </c>
      <c r="I42" s="6" t="s">
        <v>1311</v>
      </c>
      <c r="J42" s="6"/>
      <c r="K42" s="6" t="s">
        <v>1312</v>
      </c>
      <c r="L42" s="6" t="s">
        <v>1531</v>
      </c>
      <c r="M42" s="9" t="s">
        <v>444</v>
      </c>
      <c r="N42" s="9" t="s">
        <v>1532</v>
      </c>
      <c r="O42" s="12" t="s">
        <v>1533</v>
      </c>
    </row>
    <row r="43" customFormat="false" ht="23.85" hidden="false" customHeight="false" outlineLevel="0" collapsed="false">
      <c r="A43" s="6" t="s">
        <v>117</v>
      </c>
      <c r="B43" s="9" t="s">
        <v>118</v>
      </c>
      <c r="C43" s="9" t="s">
        <v>52</v>
      </c>
      <c r="D43" s="6" t="s">
        <v>120</v>
      </c>
      <c r="E43" s="6" t="s">
        <v>1528</v>
      </c>
      <c r="F43" s="9" t="s">
        <v>1534</v>
      </c>
      <c r="G43" s="10" t="n">
        <v>329.8</v>
      </c>
      <c r="H43" s="9" t="s">
        <v>1530</v>
      </c>
      <c r="I43" s="6" t="s">
        <v>1311</v>
      </c>
      <c r="J43" s="6"/>
      <c r="K43" s="6" t="s">
        <v>1312</v>
      </c>
      <c r="L43" s="6" t="s">
        <v>1531</v>
      </c>
      <c r="M43" s="9" t="s">
        <v>444</v>
      </c>
      <c r="N43" s="9" t="s">
        <v>1535</v>
      </c>
      <c r="O43" s="12" t="s">
        <v>1536</v>
      </c>
    </row>
    <row r="44" customFormat="false" ht="23.85" hidden="false" customHeight="false" outlineLevel="0" collapsed="false">
      <c r="A44" s="6" t="s">
        <v>377</v>
      </c>
      <c r="B44" s="9" t="s">
        <v>378</v>
      </c>
      <c r="C44" s="9" t="s">
        <v>52</v>
      </c>
      <c r="D44" s="6" t="s">
        <v>132</v>
      </c>
      <c r="E44" s="6" t="s">
        <v>1537</v>
      </c>
      <c r="F44" s="9" t="s">
        <v>1538</v>
      </c>
      <c r="G44" s="10" t="n">
        <v>309.6</v>
      </c>
      <c r="H44" s="9" t="s">
        <v>1539</v>
      </c>
      <c r="I44" s="6" t="s">
        <v>1311</v>
      </c>
      <c r="J44" s="6"/>
      <c r="K44" s="6" t="s">
        <v>1312</v>
      </c>
      <c r="L44" s="6" t="s">
        <v>1540</v>
      </c>
      <c r="M44" s="9" t="s">
        <v>444</v>
      </c>
      <c r="N44" s="9" t="s">
        <v>1541</v>
      </c>
      <c r="O44" s="12" t="s">
        <v>1542</v>
      </c>
    </row>
    <row r="45" customFormat="false" ht="23.85" hidden="false" customHeight="false" outlineLevel="0" collapsed="false">
      <c r="A45" s="9" t="s">
        <v>90</v>
      </c>
      <c r="B45" s="9" t="s">
        <v>91</v>
      </c>
      <c r="C45" s="9" t="s">
        <v>64</v>
      </c>
      <c r="D45" s="6" t="s">
        <v>93</v>
      </c>
      <c r="E45" s="6" t="s">
        <v>1543</v>
      </c>
      <c r="F45" s="9" t="s">
        <v>1544</v>
      </c>
      <c r="G45" s="10" t="n">
        <v>299.1</v>
      </c>
      <c r="H45" s="9" t="s">
        <v>1545</v>
      </c>
      <c r="I45" s="6" t="s">
        <v>1311</v>
      </c>
      <c r="J45" s="6"/>
      <c r="K45" s="6" t="s">
        <v>1312</v>
      </c>
      <c r="L45" s="6" t="s">
        <v>1546</v>
      </c>
      <c r="M45" s="9" t="s">
        <v>1547</v>
      </c>
      <c r="N45" s="9" t="s">
        <v>1548</v>
      </c>
      <c r="O45" s="12" t="s">
        <v>1549</v>
      </c>
    </row>
    <row r="46" customFormat="false" ht="23.85" hidden="false" customHeight="false" outlineLevel="0" collapsed="false">
      <c r="A46" s="6" t="s">
        <v>77</v>
      </c>
      <c r="B46" s="9" t="s">
        <v>78</v>
      </c>
      <c r="C46" s="9" t="s">
        <v>52</v>
      </c>
      <c r="D46" s="6" t="s">
        <v>80</v>
      </c>
      <c r="E46" s="6" t="s">
        <v>1550</v>
      </c>
      <c r="F46" s="9" t="s">
        <v>1551</v>
      </c>
      <c r="G46" s="10" t="n">
        <v>240.7</v>
      </c>
      <c r="H46" s="9" t="s">
        <v>1160</v>
      </c>
      <c r="I46" s="6" t="s">
        <v>1311</v>
      </c>
      <c r="J46" s="6"/>
      <c r="K46" s="6" t="s">
        <v>1312</v>
      </c>
      <c r="L46" s="6" t="s">
        <v>1552</v>
      </c>
      <c r="M46" s="9" t="s">
        <v>444</v>
      </c>
      <c r="N46" s="9" t="s">
        <v>1553</v>
      </c>
      <c r="O46" s="12" t="s">
        <v>1554</v>
      </c>
    </row>
    <row r="47" customFormat="false" ht="23.85" hidden="false" customHeight="false" outlineLevel="0" collapsed="false">
      <c r="A47" s="6" t="s">
        <v>269</v>
      </c>
      <c r="B47" s="9" t="s">
        <v>270</v>
      </c>
      <c r="C47" s="9" t="s">
        <v>64</v>
      </c>
      <c r="D47" s="6" t="s">
        <v>272</v>
      </c>
      <c r="E47" s="6" t="s">
        <v>1555</v>
      </c>
      <c r="F47" s="9" t="s">
        <v>1556</v>
      </c>
      <c r="G47" s="10" t="n">
        <v>227.6</v>
      </c>
      <c r="H47" s="9" t="s">
        <v>1557</v>
      </c>
      <c r="I47" s="6" t="s">
        <v>1311</v>
      </c>
      <c r="J47" s="6"/>
      <c r="K47" s="6" t="s">
        <v>1312</v>
      </c>
      <c r="L47" s="6" t="s">
        <v>1558</v>
      </c>
      <c r="M47" s="9" t="s">
        <v>444</v>
      </c>
      <c r="N47" s="9" t="s">
        <v>1559</v>
      </c>
      <c r="O47" s="12" t="s">
        <v>1560</v>
      </c>
    </row>
    <row r="48" customFormat="false" ht="23.85" hidden="false" customHeight="false" outlineLevel="0" collapsed="false">
      <c r="A48" s="6" t="s">
        <v>299</v>
      </c>
      <c r="B48" s="9" t="s">
        <v>300</v>
      </c>
      <c r="C48" s="9" t="s">
        <v>52</v>
      </c>
      <c r="D48" s="6" t="s">
        <v>242</v>
      </c>
      <c r="E48" s="6" t="s">
        <v>1561</v>
      </c>
      <c r="F48" s="9" t="s">
        <v>1562</v>
      </c>
      <c r="G48" s="10" t="n">
        <v>218</v>
      </c>
      <c r="H48" s="9" t="s">
        <v>1563</v>
      </c>
      <c r="I48" s="6" t="s">
        <v>1311</v>
      </c>
      <c r="J48" s="6"/>
      <c r="K48" s="6" t="s">
        <v>1312</v>
      </c>
      <c r="L48" s="6" t="s">
        <v>1564</v>
      </c>
      <c r="M48" s="9" t="s">
        <v>444</v>
      </c>
      <c r="N48" s="9" t="s">
        <v>1565</v>
      </c>
      <c r="O48" s="12" t="s">
        <v>1566</v>
      </c>
    </row>
    <row r="49" customFormat="false" ht="23.85" hidden="false" customHeight="false" outlineLevel="0" collapsed="false">
      <c r="A49" s="6" t="s">
        <v>417</v>
      </c>
      <c r="B49" s="9" t="s">
        <v>418</v>
      </c>
      <c r="C49" s="9" t="s">
        <v>64</v>
      </c>
      <c r="D49" s="6" t="s">
        <v>145</v>
      </c>
      <c r="E49" s="6" t="s">
        <v>1567</v>
      </c>
      <c r="F49" s="9" t="s">
        <v>1568</v>
      </c>
      <c r="G49" s="10" t="n">
        <v>197.6</v>
      </c>
      <c r="H49" s="9" t="s">
        <v>1569</v>
      </c>
      <c r="I49" s="6" t="s">
        <v>1311</v>
      </c>
      <c r="J49" s="6"/>
      <c r="K49" s="6" t="s">
        <v>1312</v>
      </c>
      <c r="L49" s="6" t="s">
        <v>1570</v>
      </c>
      <c r="M49" s="9" t="s">
        <v>444</v>
      </c>
      <c r="N49" s="9" t="s">
        <v>1571</v>
      </c>
      <c r="O49" s="12" t="s">
        <v>1572</v>
      </c>
    </row>
    <row r="50" customFormat="false" ht="27.6" hidden="false" customHeight="false" outlineLevel="0" collapsed="false">
      <c r="A50" s="6" t="s">
        <v>365</v>
      </c>
      <c r="B50" s="9" t="s">
        <v>366</v>
      </c>
      <c r="C50" s="9" t="s">
        <v>64</v>
      </c>
      <c r="D50" s="6" t="s">
        <v>88</v>
      </c>
      <c r="E50" s="6" t="s">
        <v>1573</v>
      </c>
      <c r="F50" s="12" t="s">
        <v>1574</v>
      </c>
      <c r="G50" s="10" t="n">
        <v>186.5</v>
      </c>
      <c r="H50" s="9" t="s">
        <v>1575</v>
      </c>
      <c r="I50" s="6" t="s">
        <v>1576</v>
      </c>
      <c r="J50" s="9" t="s">
        <v>1577</v>
      </c>
      <c r="K50" s="6"/>
      <c r="L50" s="9" t="s">
        <v>1578</v>
      </c>
      <c r="M50" s="9" t="s">
        <v>444</v>
      </c>
      <c r="N50" s="9" t="s">
        <v>1579</v>
      </c>
      <c r="O50" s="12" t="s">
        <v>1580</v>
      </c>
    </row>
    <row r="51" customFormat="false" ht="27.6" hidden="false" customHeight="false" outlineLevel="0" collapsed="false">
      <c r="A51" s="6" t="s">
        <v>359</v>
      </c>
      <c r="B51" s="9" t="s">
        <v>360</v>
      </c>
      <c r="C51" s="9" t="s">
        <v>64</v>
      </c>
      <c r="D51" s="6" t="s">
        <v>65</v>
      </c>
      <c r="E51" s="6" t="s">
        <v>1581</v>
      </c>
      <c r="F51" s="12" t="s">
        <v>1582</v>
      </c>
      <c r="G51" s="10" t="n">
        <v>155.8</v>
      </c>
      <c r="H51" s="9" t="s">
        <v>1583</v>
      </c>
      <c r="I51" s="6" t="s">
        <v>1576</v>
      </c>
      <c r="J51" s="9" t="s">
        <v>1584</v>
      </c>
      <c r="K51" s="6"/>
      <c r="L51" s="6" t="s">
        <v>1585</v>
      </c>
      <c r="M51" s="9" t="s">
        <v>444</v>
      </c>
      <c r="N51" s="9" t="s">
        <v>1586</v>
      </c>
      <c r="O51" s="12" t="s">
        <v>1587</v>
      </c>
    </row>
    <row r="52" customFormat="false" ht="23.85" hidden="false" customHeight="false" outlineLevel="0" collapsed="false">
      <c r="A52" s="6" t="s">
        <v>110</v>
      </c>
      <c r="B52" s="9" t="s">
        <v>111</v>
      </c>
      <c r="C52" s="9" t="s">
        <v>52</v>
      </c>
      <c r="D52" s="6" t="s">
        <v>113</v>
      </c>
      <c r="E52" s="6" t="s">
        <v>1588</v>
      </c>
      <c r="F52" s="9" t="s">
        <v>1589</v>
      </c>
      <c r="G52" s="10" t="n">
        <v>147.9</v>
      </c>
      <c r="H52" s="9" t="s">
        <v>1590</v>
      </c>
      <c r="I52" s="6" t="s">
        <v>1311</v>
      </c>
      <c r="J52" s="6"/>
      <c r="K52" s="6" t="s">
        <v>1312</v>
      </c>
      <c r="L52" s="6" t="s">
        <v>1591</v>
      </c>
      <c r="M52" s="9" t="s">
        <v>444</v>
      </c>
      <c r="N52" s="9" t="s">
        <v>1592</v>
      </c>
      <c r="O52" s="12" t="s">
        <v>1593</v>
      </c>
    </row>
    <row r="53" customFormat="false" ht="40.25" hidden="false" customHeight="false" outlineLevel="0" collapsed="false">
      <c r="A53" s="9" t="s">
        <v>174</v>
      </c>
      <c r="B53" s="9" t="s">
        <v>175</v>
      </c>
      <c r="C53" s="9" t="s">
        <v>52</v>
      </c>
      <c r="D53" s="6" t="s">
        <v>75</v>
      </c>
      <c r="E53" s="6" t="s">
        <v>1594</v>
      </c>
      <c r="F53" s="12" t="s">
        <v>1595</v>
      </c>
      <c r="G53" s="10" t="n">
        <v>141.9</v>
      </c>
      <c r="H53" s="9" t="s">
        <v>1596</v>
      </c>
      <c r="I53" s="6" t="s">
        <v>1576</v>
      </c>
      <c r="J53" s="9" t="s">
        <v>1597</v>
      </c>
      <c r="K53" s="6"/>
      <c r="L53" s="6" t="s">
        <v>1585</v>
      </c>
      <c r="M53" s="9" t="s">
        <v>444</v>
      </c>
      <c r="N53" s="9" t="s">
        <v>1598</v>
      </c>
      <c r="O53" s="12" t="s">
        <v>1599</v>
      </c>
    </row>
    <row r="54" customFormat="false" ht="23.85" hidden="false" customHeight="false" outlineLevel="0" collapsed="false">
      <c r="A54" s="6" t="s">
        <v>72</v>
      </c>
      <c r="B54" s="9" t="s">
        <v>73</v>
      </c>
      <c r="C54" s="9" t="s">
        <v>64</v>
      </c>
      <c r="D54" s="6" t="s">
        <v>75</v>
      </c>
      <c r="E54" s="6" t="s">
        <v>1600</v>
      </c>
      <c r="F54" s="9" t="s">
        <v>1601</v>
      </c>
      <c r="G54" s="10" t="n">
        <v>136.3</v>
      </c>
      <c r="H54" s="9" t="s">
        <v>1602</v>
      </c>
      <c r="I54" s="6" t="s">
        <v>1311</v>
      </c>
      <c r="J54" s="6"/>
      <c r="K54" s="6" t="s">
        <v>1312</v>
      </c>
      <c r="L54" s="6" t="s">
        <v>1603</v>
      </c>
      <c r="M54" s="9" t="s">
        <v>444</v>
      </c>
      <c r="N54" s="9" t="s">
        <v>1604</v>
      </c>
      <c r="O54" s="12" t="s">
        <v>1605</v>
      </c>
    </row>
    <row r="55" customFormat="false" ht="23.85" hidden="false" customHeight="false" outlineLevel="0" collapsed="false">
      <c r="A55" s="6" t="s">
        <v>228</v>
      </c>
      <c r="B55" s="9" t="s">
        <v>229</v>
      </c>
      <c r="C55" s="9" t="s">
        <v>64</v>
      </c>
      <c r="D55" s="6" t="s">
        <v>199</v>
      </c>
      <c r="E55" s="6" t="s">
        <v>1606</v>
      </c>
      <c r="F55" s="9" t="s">
        <v>1607</v>
      </c>
      <c r="G55" s="10" t="n">
        <v>122.5</v>
      </c>
      <c r="H55" s="9" t="s">
        <v>1608</v>
      </c>
      <c r="I55" s="6" t="s">
        <v>1311</v>
      </c>
      <c r="J55" s="6"/>
      <c r="K55" s="6" t="s">
        <v>1312</v>
      </c>
      <c r="L55" s="6" t="s">
        <v>1609</v>
      </c>
      <c r="M55" s="9" t="s">
        <v>444</v>
      </c>
      <c r="N55" s="9" t="s">
        <v>1610</v>
      </c>
      <c r="O55" s="12" t="s">
        <v>1611</v>
      </c>
    </row>
    <row r="56" customFormat="false" ht="23.85" hidden="false" customHeight="false" outlineLevel="0" collapsed="false">
      <c r="A56" s="9" t="s">
        <v>414</v>
      </c>
      <c r="B56" s="9" t="s">
        <v>415</v>
      </c>
      <c r="C56" s="9" t="s">
        <v>52</v>
      </c>
      <c r="D56" s="6" t="s">
        <v>199</v>
      </c>
      <c r="E56" s="6" t="s">
        <v>1612</v>
      </c>
      <c r="F56" s="9" t="s">
        <v>1613</v>
      </c>
      <c r="G56" s="10" t="n">
        <v>119.1</v>
      </c>
      <c r="H56" s="9" t="s">
        <v>1614</v>
      </c>
      <c r="I56" s="6" t="s">
        <v>1311</v>
      </c>
      <c r="J56" s="6"/>
      <c r="K56" s="6" t="s">
        <v>1312</v>
      </c>
      <c r="L56" s="6" t="s">
        <v>1615</v>
      </c>
      <c r="M56" s="9" t="s">
        <v>444</v>
      </c>
      <c r="N56" s="9" t="s">
        <v>1616</v>
      </c>
      <c r="O56" s="12" t="s">
        <v>1617</v>
      </c>
    </row>
    <row r="57" customFormat="false" ht="23.85" hidden="false" customHeight="false" outlineLevel="0" collapsed="false">
      <c r="A57" s="6" t="s">
        <v>338</v>
      </c>
      <c r="B57" s="9" t="s">
        <v>339</v>
      </c>
      <c r="C57" s="9" t="s">
        <v>52</v>
      </c>
      <c r="D57" s="6" t="s">
        <v>167</v>
      </c>
      <c r="E57" s="6" t="s">
        <v>1618</v>
      </c>
      <c r="F57" s="9" t="s">
        <v>1619</v>
      </c>
      <c r="G57" s="10" t="n">
        <v>117.2</v>
      </c>
      <c r="H57" s="9" t="s">
        <v>1620</v>
      </c>
      <c r="I57" s="6" t="s">
        <v>1311</v>
      </c>
      <c r="J57" s="6"/>
      <c r="K57" s="6" t="s">
        <v>1312</v>
      </c>
      <c r="L57" s="6" t="s">
        <v>1621</v>
      </c>
      <c r="M57" s="9" t="s">
        <v>444</v>
      </c>
      <c r="N57" s="9" t="s">
        <v>1622</v>
      </c>
      <c r="O57" s="12" t="s">
        <v>1623</v>
      </c>
    </row>
    <row r="58" customFormat="false" ht="23.85" hidden="false" customHeight="false" outlineLevel="0" collapsed="false">
      <c r="A58" s="6" t="s">
        <v>153</v>
      </c>
      <c r="B58" s="9" t="s">
        <v>154</v>
      </c>
      <c r="C58" s="9" t="s">
        <v>52</v>
      </c>
      <c r="D58" s="6" t="s">
        <v>149</v>
      </c>
      <c r="E58" s="6" t="s">
        <v>1624</v>
      </c>
      <c r="F58" s="9" t="s">
        <v>1625</v>
      </c>
      <c r="G58" s="10" t="n">
        <v>112.1</v>
      </c>
      <c r="H58" s="9" t="s">
        <v>1626</v>
      </c>
      <c r="I58" s="6" t="s">
        <v>1311</v>
      </c>
      <c r="J58" s="6"/>
      <c r="K58" s="6" t="s">
        <v>1312</v>
      </c>
      <c r="L58" s="6" t="s">
        <v>1627</v>
      </c>
      <c r="M58" s="9" t="s">
        <v>444</v>
      </c>
      <c r="N58" s="9" t="s">
        <v>1628</v>
      </c>
      <c r="O58" s="12" t="s">
        <v>1629</v>
      </c>
    </row>
    <row r="59" customFormat="false" ht="23.85" hidden="false" customHeight="false" outlineLevel="0" collapsed="false">
      <c r="A59" s="6" t="s">
        <v>257</v>
      </c>
      <c r="B59" s="9" t="s">
        <v>258</v>
      </c>
      <c r="C59" s="9" t="s">
        <v>52</v>
      </c>
      <c r="D59" s="6" t="s">
        <v>88</v>
      </c>
      <c r="E59" s="6" t="s">
        <v>1630</v>
      </c>
      <c r="F59" s="9" t="s">
        <v>1631</v>
      </c>
      <c r="G59" s="10" t="n">
        <v>110.7</v>
      </c>
      <c r="H59" s="9" t="s">
        <v>1632</v>
      </c>
      <c r="I59" s="6" t="s">
        <v>1311</v>
      </c>
      <c r="J59" s="6"/>
      <c r="K59" s="6" t="s">
        <v>1312</v>
      </c>
      <c r="L59" s="6" t="s">
        <v>1633</v>
      </c>
      <c r="M59" s="9" t="s">
        <v>444</v>
      </c>
      <c r="N59" s="9" t="s">
        <v>1634</v>
      </c>
      <c r="O59" s="12" t="s">
        <v>1635</v>
      </c>
    </row>
    <row r="60" customFormat="false" ht="23.85" hidden="false" customHeight="false" outlineLevel="0" collapsed="false">
      <c r="A60" s="6" t="s">
        <v>101</v>
      </c>
      <c r="B60" s="9" t="s">
        <v>102</v>
      </c>
      <c r="C60" s="9" t="s">
        <v>52</v>
      </c>
      <c r="D60" s="9" t="s">
        <v>84</v>
      </c>
      <c r="E60" s="6" t="s">
        <v>1636</v>
      </c>
      <c r="F60" s="9" t="s">
        <v>1637</v>
      </c>
      <c r="G60" s="10" t="n">
        <v>102</v>
      </c>
      <c r="H60" s="9" t="s">
        <v>1638</v>
      </c>
      <c r="I60" s="6" t="s">
        <v>1311</v>
      </c>
      <c r="J60" s="6"/>
      <c r="K60" s="6" t="s">
        <v>1312</v>
      </c>
      <c r="L60" s="6" t="s">
        <v>1639</v>
      </c>
      <c r="M60" s="9" t="s">
        <v>1640</v>
      </c>
      <c r="N60" s="9" t="s">
        <v>1641</v>
      </c>
      <c r="O60" s="12" t="s">
        <v>1642</v>
      </c>
    </row>
    <row r="61" customFormat="false" ht="23.85" hidden="false" customHeight="false" outlineLevel="0" collapsed="false">
      <c r="A61" s="6" t="s">
        <v>250</v>
      </c>
      <c r="B61" s="9" t="s">
        <v>251</v>
      </c>
      <c r="C61" s="9" t="s">
        <v>52</v>
      </c>
      <c r="D61" s="6" t="s">
        <v>253</v>
      </c>
      <c r="E61" s="6" t="s">
        <v>1643</v>
      </c>
      <c r="F61" s="9" t="s">
        <v>1644</v>
      </c>
      <c r="G61" s="10" t="n">
        <v>98.7</v>
      </c>
      <c r="H61" s="9" t="s">
        <v>1645</v>
      </c>
      <c r="I61" s="6" t="s">
        <v>1311</v>
      </c>
      <c r="J61" s="6"/>
      <c r="K61" s="6" t="s">
        <v>1312</v>
      </c>
      <c r="L61" s="6" t="s">
        <v>1646</v>
      </c>
      <c r="M61" s="9" t="s">
        <v>444</v>
      </c>
      <c r="N61" s="9" t="s">
        <v>1647</v>
      </c>
      <c r="O61" s="12" t="s">
        <v>1648</v>
      </c>
    </row>
    <row r="62" customFormat="false" ht="41" hidden="false" customHeight="false" outlineLevel="0" collapsed="false">
      <c r="A62" s="6" t="s">
        <v>57</v>
      </c>
      <c r="B62" s="9" t="s">
        <v>58</v>
      </c>
      <c r="C62" s="9" t="s">
        <v>52</v>
      </c>
      <c r="D62" s="6" t="s">
        <v>60</v>
      </c>
      <c r="E62" s="6" t="s">
        <v>1649</v>
      </c>
      <c r="F62" s="12" t="s">
        <v>1650</v>
      </c>
      <c r="G62" s="10" t="n">
        <v>92.6</v>
      </c>
      <c r="H62" s="9" t="s">
        <v>1651</v>
      </c>
      <c r="I62" s="6" t="s">
        <v>1576</v>
      </c>
      <c r="J62" s="9" t="s">
        <v>1652</v>
      </c>
      <c r="K62" s="6"/>
      <c r="L62" s="6" t="s">
        <v>1585</v>
      </c>
      <c r="M62" s="9" t="s">
        <v>444</v>
      </c>
      <c r="N62" s="9" t="s">
        <v>1653</v>
      </c>
      <c r="O62" s="12" t="s">
        <v>1654</v>
      </c>
    </row>
    <row r="63" customFormat="false" ht="23.85" hidden="false" customHeight="false" outlineLevel="0" collapsed="false">
      <c r="A63" s="6" t="s">
        <v>243</v>
      </c>
      <c r="B63" s="9" t="s">
        <v>244</v>
      </c>
      <c r="C63" s="9" t="s">
        <v>52</v>
      </c>
      <c r="D63" s="6" t="s">
        <v>246</v>
      </c>
      <c r="E63" s="6" t="s">
        <v>1655</v>
      </c>
      <c r="F63" s="9" t="s">
        <v>1656</v>
      </c>
      <c r="G63" s="10" t="n">
        <v>73.8</v>
      </c>
      <c r="H63" s="9" t="s">
        <v>1657</v>
      </c>
      <c r="I63" s="6" t="s">
        <v>1311</v>
      </c>
      <c r="J63" s="6"/>
      <c r="K63" s="6" t="s">
        <v>1312</v>
      </c>
      <c r="L63" s="6" t="s">
        <v>1658</v>
      </c>
      <c r="M63" s="9" t="s">
        <v>444</v>
      </c>
      <c r="N63" s="9" t="s">
        <v>1659</v>
      </c>
      <c r="O63" s="12" t="s">
        <v>1660</v>
      </c>
    </row>
    <row r="64" customFormat="false" ht="23.85" hidden="false" customHeight="false" outlineLevel="0" collapsed="false">
      <c r="A64" s="6" t="s">
        <v>239</v>
      </c>
      <c r="B64" s="9" t="s">
        <v>240</v>
      </c>
      <c r="C64" s="9" t="s">
        <v>64</v>
      </c>
      <c r="D64" s="6" t="s">
        <v>242</v>
      </c>
      <c r="E64" s="6" t="s">
        <v>1655</v>
      </c>
      <c r="F64" s="9" t="s">
        <v>1661</v>
      </c>
      <c r="G64" s="10" t="n">
        <v>73.7</v>
      </c>
      <c r="H64" s="9" t="s">
        <v>1657</v>
      </c>
      <c r="I64" s="6" t="s">
        <v>1311</v>
      </c>
      <c r="J64" s="6"/>
      <c r="K64" s="6" t="s">
        <v>1312</v>
      </c>
      <c r="L64" s="6" t="s">
        <v>1658</v>
      </c>
      <c r="M64" s="9" t="s">
        <v>444</v>
      </c>
      <c r="N64" s="9" t="s">
        <v>1662</v>
      </c>
      <c r="O64" s="12" t="s">
        <v>1663</v>
      </c>
    </row>
    <row r="65" customFormat="false" ht="23.85" hidden="false" customHeight="false" outlineLevel="0" collapsed="false">
      <c r="A65" s="6" t="s">
        <v>96</v>
      </c>
      <c r="B65" s="9" t="s">
        <v>97</v>
      </c>
      <c r="C65" s="9" t="s">
        <v>52</v>
      </c>
      <c r="D65" s="6" t="s">
        <v>99</v>
      </c>
      <c r="E65" s="6" t="s">
        <v>1664</v>
      </c>
      <c r="F65" s="9" t="s">
        <v>1665</v>
      </c>
      <c r="G65" s="10" t="n">
        <v>70.7</v>
      </c>
      <c r="H65" s="9" t="s">
        <v>838</v>
      </c>
      <c r="I65" s="6" t="s">
        <v>1311</v>
      </c>
      <c r="J65" s="6"/>
      <c r="K65" s="6" t="s">
        <v>1312</v>
      </c>
      <c r="L65" s="6" t="s">
        <v>1666</v>
      </c>
      <c r="M65" s="9" t="s">
        <v>444</v>
      </c>
      <c r="N65" s="9" t="s">
        <v>1667</v>
      </c>
      <c r="O65" s="12" t="s">
        <v>1668</v>
      </c>
    </row>
    <row r="66" customFormat="false" ht="23.85" hidden="false" customHeight="false" outlineLevel="0" collapsed="false">
      <c r="A66" s="6" t="s">
        <v>85</v>
      </c>
      <c r="B66" s="9" t="s">
        <v>86</v>
      </c>
      <c r="C66" s="9" t="s">
        <v>64</v>
      </c>
      <c r="D66" s="6" t="s">
        <v>88</v>
      </c>
      <c r="E66" s="6" t="s">
        <v>1669</v>
      </c>
      <c r="F66" s="9" t="s">
        <v>1670</v>
      </c>
      <c r="G66" s="10" t="n">
        <v>68.3</v>
      </c>
      <c r="H66" s="9" t="s">
        <v>1671</v>
      </c>
      <c r="I66" s="6" t="s">
        <v>1311</v>
      </c>
      <c r="J66" s="6"/>
      <c r="K66" s="6" t="s">
        <v>1312</v>
      </c>
      <c r="L66" s="6" t="s">
        <v>1672</v>
      </c>
      <c r="M66" s="9" t="s">
        <v>444</v>
      </c>
      <c r="N66" s="9" t="s">
        <v>1673</v>
      </c>
      <c r="O66" s="12" t="s">
        <v>1674</v>
      </c>
    </row>
    <row r="67" customFormat="false" ht="23.85" hidden="false" customHeight="false" outlineLevel="0" collapsed="false">
      <c r="A67" s="6" t="s">
        <v>200</v>
      </c>
      <c r="B67" s="9" t="s">
        <v>201</v>
      </c>
      <c r="C67" s="9" t="s">
        <v>52</v>
      </c>
      <c r="D67" s="6" t="s">
        <v>203</v>
      </c>
      <c r="E67" s="6" t="s">
        <v>1675</v>
      </c>
      <c r="F67" s="12" t="s">
        <v>1676</v>
      </c>
      <c r="G67" s="10" t="n">
        <v>61</v>
      </c>
      <c r="H67" s="9" t="s">
        <v>856</v>
      </c>
      <c r="I67" s="6" t="s">
        <v>1576</v>
      </c>
      <c r="J67" s="9" t="s">
        <v>1677</v>
      </c>
      <c r="K67" s="6"/>
      <c r="L67" s="6" t="s">
        <v>1585</v>
      </c>
      <c r="M67" s="9" t="s">
        <v>444</v>
      </c>
      <c r="N67" s="9" t="s">
        <v>1678</v>
      </c>
      <c r="O67" s="12" t="s">
        <v>1679</v>
      </c>
    </row>
    <row r="68" customFormat="false" ht="41.75" hidden="false" customHeight="false" outlineLevel="0" collapsed="false">
      <c r="A68" s="6" t="s">
        <v>266</v>
      </c>
      <c r="B68" s="9" t="s">
        <v>267</v>
      </c>
      <c r="C68" s="9" t="s">
        <v>52</v>
      </c>
      <c r="D68" s="6" t="s">
        <v>99</v>
      </c>
      <c r="E68" s="6" t="s">
        <v>1680</v>
      </c>
      <c r="F68" s="12" t="s">
        <v>1681</v>
      </c>
      <c r="G68" s="10" t="n">
        <v>40.6</v>
      </c>
      <c r="H68" s="9" t="s">
        <v>1682</v>
      </c>
      <c r="I68" s="6" t="s">
        <v>1576</v>
      </c>
      <c r="J68" s="9" t="s">
        <v>1683</v>
      </c>
      <c r="K68" s="6"/>
      <c r="L68" s="6" t="s">
        <v>1585</v>
      </c>
      <c r="M68" s="9" t="s">
        <v>444</v>
      </c>
      <c r="N68" s="9" t="s">
        <v>1684</v>
      </c>
      <c r="O68" s="12" t="s">
        <v>1685</v>
      </c>
    </row>
    <row r="69" customFormat="false" ht="27.6" hidden="false" customHeight="false" outlineLevel="0" collapsed="false">
      <c r="A69" s="6" t="s">
        <v>247</v>
      </c>
      <c r="B69" s="9" t="s">
        <v>248</v>
      </c>
      <c r="C69" s="9" t="s">
        <v>52</v>
      </c>
      <c r="D69" s="6" t="s">
        <v>109</v>
      </c>
      <c r="E69" s="6" t="s">
        <v>1686</v>
      </c>
      <c r="F69" s="12" t="s">
        <v>1687</v>
      </c>
      <c r="G69" s="10" t="n">
        <v>34.5</v>
      </c>
      <c r="H69" s="9" t="s">
        <v>1688</v>
      </c>
      <c r="I69" s="6" t="s">
        <v>1576</v>
      </c>
      <c r="J69" s="9" t="s">
        <v>1689</v>
      </c>
      <c r="K69" s="6"/>
      <c r="L69" s="6" t="s">
        <v>1585</v>
      </c>
      <c r="M69" s="9" t="s">
        <v>444</v>
      </c>
      <c r="N69" s="9" t="s">
        <v>1690</v>
      </c>
      <c r="O69" s="12" t="s">
        <v>1691</v>
      </c>
    </row>
    <row r="70" customFormat="false" ht="23.85" hidden="false" customHeight="false" outlineLevel="0" collapsed="false">
      <c r="A70" s="6" t="s">
        <v>114</v>
      </c>
      <c r="B70" s="9" t="s">
        <v>115</v>
      </c>
      <c r="C70" s="9" t="s">
        <v>64</v>
      </c>
      <c r="D70" s="6" t="s">
        <v>88</v>
      </c>
      <c r="E70" s="6" t="s">
        <v>1692</v>
      </c>
      <c r="F70" s="9" t="s">
        <v>1693</v>
      </c>
      <c r="G70" s="10" t="n">
        <v>27.1</v>
      </c>
      <c r="H70" s="9" t="s">
        <v>892</v>
      </c>
      <c r="I70" s="6" t="s">
        <v>1311</v>
      </c>
      <c r="J70" s="6"/>
      <c r="K70" s="6" t="s">
        <v>1312</v>
      </c>
      <c r="L70" s="6" t="s">
        <v>1694</v>
      </c>
      <c r="M70" s="9" t="s">
        <v>444</v>
      </c>
      <c r="N70" s="9" t="s">
        <v>1695</v>
      </c>
      <c r="O70" s="12" t="s">
        <v>1696</v>
      </c>
    </row>
    <row r="71" customFormat="false" ht="27.6" hidden="false" customHeight="false" outlineLevel="0" collapsed="false">
      <c r="A71" s="6" t="s">
        <v>315</v>
      </c>
      <c r="B71" s="9" t="s">
        <v>316</v>
      </c>
      <c r="C71" s="9" t="s">
        <v>64</v>
      </c>
      <c r="D71" s="6" t="s">
        <v>318</v>
      </c>
      <c r="E71" s="6" t="s">
        <v>1697</v>
      </c>
      <c r="F71" s="12" t="s">
        <v>1698</v>
      </c>
      <c r="G71" s="10" t="n">
        <v>25.5</v>
      </c>
      <c r="H71" s="9" t="s">
        <v>1699</v>
      </c>
      <c r="I71" s="6" t="s">
        <v>1576</v>
      </c>
      <c r="J71" s="9" t="s">
        <v>1700</v>
      </c>
      <c r="K71" s="6"/>
      <c r="L71" s="6" t="s">
        <v>1585</v>
      </c>
      <c r="M71" s="9" t="s">
        <v>444</v>
      </c>
      <c r="N71" s="9" t="s">
        <v>1701</v>
      </c>
      <c r="O71" s="12" t="s">
        <v>1702</v>
      </c>
    </row>
    <row r="72" customFormat="false" ht="27.6" hidden="false" customHeight="false" outlineLevel="0" collapsed="false">
      <c r="A72" s="6" t="s">
        <v>384</v>
      </c>
      <c r="B72" s="9" t="s">
        <v>385</v>
      </c>
      <c r="C72" s="9" t="s">
        <v>64</v>
      </c>
      <c r="D72" s="6" t="s">
        <v>99</v>
      </c>
      <c r="E72" s="6" t="s">
        <v>1703</v>
      </c>
      <c r="F72" s="12" t="s">
        <v>1704</v>
      </c>
      <c r="G72" s="10" t="n">
        <v>25</v>
      </c>
      <c r="H72" s="9" t="s">
        <v>1705</v>
      </c>
      <c r="I72" s="6" t="s">
        <v>1576</v>
      </c>
      <c r="J72" s="9" t="s">
        <v>1706</v>
      </c>
      <c r="K72" s="6"/>
      <c r="L72" s="6" t="s">
        <v>1585</v>
      </c>
      <c r="M72" s="9" t="s">
        <v>444</v>
      </c>
      <c r="N72" s="9" t="s">
        <v>1707</v>
      </c>
      <c r="O72" s="12" t="s">
        <v>1708</v>
      </c>
    </row>
    <row r="73" customFormat="false" ht="27.6" hidden="false" customHeight="false" outlineLevel="0" collapsed="false">
      <c r="A73" s="6" t="s">
        <v>328</v>
      </c>
      <c r="B73" s="9" t="s">
        <v>329</v>
      </c>
      <c r="C73" s="9" t="s">
        <v>64</v>
      </c>
      <c r="D73" s="6" t="s">
        <v>188</v>
      </c>
      <c r="E73" s="6" t="s">
        <v>1709</v>
      </c>
      <c r="F73" s="12" t="s">
        <v>1710</v>
      </c>
      <c r="G73" s="10" t="n">
        <v>22</v>
      </c>
      <c r="H73" s="9" t="s">
        <v>898</v>
      </c>
      <c r="I73" s="6" t="s">
        <v>1576</v>
      </c>
      <c r="J73" s="9" t="s">
        <v>1711</v>
      </c>
      <c r="K73" s="6"/>
      <c r="L73" s="6" t="s">
        <v>1585</v>
      </c>
      <c r="M73" s="9" t="s">
        <v>444</v>
      </c>
      <c r="N73" s="9" t="s">
        <v>1712</v>
      </c>
      <c r="O73" s="12" t="s">
        <v>1713</v>
      </c>
    </row>
    <row r="74" customFormat="false" ht="23.85" hidden="false" customHeight="false" outlineLevel="0" collapsed="false">
      <c r="A74" s="6" t="s">
        <v>150</v>
      </c>
      <c r="B74" s="9" t="s">
        <v>151</v>
      </c>
      <c r="C74" s="9" t="s">
        <v>64</v>
      </c>
      <c r="D74" s="6" t="s">
        <v>137</v>
      </c>
      <c r="E74" s="6" t="s">
        <v>1714</v>
      </c>
      <c r="F74" s="9" t="s">
        <v>1715</v>
      </c>
      <c r="G74" s="10" t="n">
        <v>21.2</v>
      </c>
      <c r="H74" s="9" t="s">
        <v>1716</v>
      </c>
      <c r="I74" s="6" t="s">
        <v>1311</v>
      </c>
      <c r="J74" s="6"/>
      <c r="K74" s="6" t="s">
        <v>1312</v>
      </c>
      <c r="L74" s="6" t="s">
        <v>1717</v>
      </c>
      <c r="M74" s="9" t="s">
        <v>444</v>
      </c>
      <c r="N74" s="9" t="s">
        <v>1718</v>
      </c>
      <c r="O74" s="12" t="s">
        <v>1719</v>
      </c>
    </row>
    <row r="75" customFormat="false" ht="23.85" hidden="false" customHeight="false" outlineLevel="0" collapsed="false">
      <c r="A75" s="6" t="s">
        <v>142</v>
      </c>
      <c r="B75" s="9" t="s">
        <v>143</v>
      </c>
      <c r="C75" s="9" t="s">
        <v>52</v>
      </c>
      <c r="D75" s="6" t="s">
        <v>145</v>
      </c>
      <c r="E75" s="6" t="s">
        <v>1720</v>
      </c>
      <c r="F75" s="9" t="s">
        <v>1721</v>
      </c>
      <c r="G75" s="10" t="n">
        <v>18.4</v>
      </c>
      <c r="H75" s="9" t="s">
        <v>1722</v>
      </c>
      <c r="I75" s="6" t="s">
        <v>1311</v>
      </c>
      <c r="J75" s="6"/>
      <c r="K75" s="6" t="s">
        <v>1312</v>
      </c>
      <c r="L75" s="6" t="s">
        <v>1723</v>
      </c>
      <c r="M75" s="9" t="s">
        <v>444</v>
      </c>
      <c r="N75" s="9" t="s">
        <v>1724</v>
      </c>
      <c r="O75" s="12" t="s">
        <v>1725</v>
      </c>
    </row>
    <row r="76" customFormat="false" ht="23.85" hidden="false" customHeight="false" outlineLevel="0" collapsed="false">
      <c r="A76" s="6" t="s">
        <v>129</v>
      </c>
      <c r="B76" s="9" t="s">
        <v>130</v>
      </c>
      <c r="C76" s="9" t="s">
        <v>64</v>
      </c>
      <c r="D76" s="6" t="s">
        <v>132</v>
      </c>
      <c r="E76" s="6" t="s">
        <v>1726</v>
      </c>
      <c r="F76" s="9" t="s">
        <v>1727</v>
      </c>
      <c r="G76" s="10" t="n">
        <v>17.2</v>
      </c>
      <c r="H76" s="9" t="s">
        <v>1728</v>
      </c>
      <c r="I76" s="6" t="s">
        <v>1311</v>
      </c>
      <c r="J76" s="6"/>
      <c r="K76" s="6" t="s">
        <v>1312</v>
      </c>
      <c r="L76" s="6" t="s">
        <v>1729</v>
      </c>
      <c r="M76" s="9" t="s">
        <v>444</v>
      </c>
      <c r="N76" s="9" t="s">
        <v>1730</v>
      </c>
      <c r="O76" s="12" t="s">
        <v>1731</v>
      </c>
    </row>
    <row r="77" customFormat="false" ht="23.85" hidden="false" customHeight="false" outlineLevel="0" collapsed="false">
      <c r="A77" s="6" t="s">
        <v>287</v>
      </c>
      <c r="B77" s="9" t="s">
        <v>288</v>
      </c>
      <c r="C77" s="9" t="s">
        <v>52</v>
      </c>
      <c r="D77" s="6" t="s">
        <v>188</v>
      </c>
      <c r="E77" s="6" t="s">
        <v>1732</v>
      </c>
      <c r="F77" s="9" t="s">
        <v>1733</v>
      </c>
      <c r="G77" s="10" t="n">
        <v>16.4</v>
      </c>
      <c r="H77" s="9" t="s">
        <v>1734</v>
      </c>
      <c r="I77" s="6" t="s">
        <v>1311</v>
      </c>
      <c r="J77" s="6"/>
      <c r="K77" s="6" t="s">
        <v>1312</v>
      </c>
      <c r="L77" s="6" t="s">
        <v>1735</v>
      </c>
      <c r="M77" s="9" t="s">
        <v>444</v>
      </c>
      <c r="N77" s="9" t="s">
        <v>1736</v>
      </c>
      <c r="O77" s="12" t="s">
        <v>1737</v>
      </c>
    </row>
    <row r="78" customFormat="false" ht="27.6" hidden="false" customHeight="false" outlineLevel="0" collapsed="false">
      <c r="A78" s="6" t="s">
        <v>312</v>
      </c>
      <c r="B78" s="9" t="s">
        <v>313</v>
      </c>
      <c r="C78" s="9" t="s">
        <v>52</v>
      </c>
      <c r="D78" s="6" t="s">
        <v>199</v>
      </c>
      <c r="E78" s="6" t="s">
        <v>1738</v>
      </c>
      <c r="F78" s="12" t="s">
        <v>1739</v>
      </c>
      <c r="G78" s="10" t="n">
        <v>14.5</v>
      </c>
      <c r="H78" s="9" t="s">
        <v>904</v>
      </c>
      <c r="I78" s="6" t="s">
        <v>1576</v>
      </c>
      <c r="J78" s="9" t="s">
        <v>1683</v>
      </c>
      <c r="K78" s="6"/>
      <c r="L78" s="6" t="s">
        <v>1585</v>
      </c>
      <c r="M78" s="9" t="s">
        <v>444</v>
      </c>
      <c r="N78" s="9" t="s">
        <v>1740</v>
      </c>
      <c r="O78" s="12" t="s">
        <v>1741</v>
      </c>
    </row>
    <row r="79" customFormat="false" ht="23.85" hidden="false" customHeight="false" outlineLevel="0" collapsed="false">
      <c r="A79" s="6" t="s">
        <v>121</v>
      </c>
      <c r="B79" s="9" t="s">
        <v>122</v>
      </c>
      <c r="C79" s="9" t="s">
        <v>52</v>
      </c>
      <c r="D79" s="6" t="s">
        <v>120</v>
      </c>
      <c r="E79" s="6" t="s">
        <v>1742</v>
      </c>
      <c r="F79" s="9" t="s">
        <v>1743</v>
      </c>
      <c r="G79" s="10" t="n">
        <v>11.8</v>
      </c>
      <c r="H79" s="9" t="s">
        <v>1744</v>
      </c>
      <c r="I79" s="6" t="s">
        <v>1311</v>
      </c>
      <c r="J79" s="6"/>
      <c r="K79" s="6" t="s">
        <v>1312</v>
      </c>
      <c r="L79" s="6" t="s">
        <v>1745</v>
      </c>
      <c r="M79" s="9" t="s">
        <v>444</v>
      </c>
      <c r="N79" s="9" t="s">
        <v>1746</v>
      </c>
      <c r="O79" s="12" t="s">
        <v>1747</v>
      </c>
    </row>
    <row r="80" customFormat="false" ht="23.85" hidden="false" customHeight="false" outlineLevel="0" collapsed="false">
      <c r="A80" s="6" t="s">
        <v>146</v>
      </c>
      <c r="B80" s="9" t="s">
        <v>147</v>
      </c>
      <c r="C80" s="9" t="s">
        <v>64</v>
      </c>
      <c r="D80" s="6" t="s">
        <v>149</v>
      </c>
      <c r="E80" s="6" t="s">
        <v>1748</v>
      </c>
      <c r="F80" s="9" t="s">
        <v>1749</v>
      </c>
      <c r="G80" s="10" t="n">
        <v>9.3</v>
      </c>
      <c r="H80" s="9" t="s">
        <v>1750</v>
      </c>
      <c r="I80" s="6" t="s">
        <v>1311</v>
      </c>
      <c r="J80" s="6"/>
      <c r="K80" s="6" t="s">
        <v>1312</v>
      </c>
      <c r="L80" s="6" t="s">
        <v>1751</v>
      </c>
      <c r="M80" s="9" t="s">
        <v>444</v>
      </c>
      <c r="N80" s="9" t="s">
        <v>1752</v>
      </c>
      <c r="O80" s="12" t="s">
        <v>1753</v>
      </c>
    </row>
    <row r="81" customFormat="false" ht="27.6" hidden="false" customHeight="false" outlineLevel="0" collapsed="false">
      <c r="A81" s="6" t="s">
        <v>293</v>
      </c>
      <c r="B81" s="9" t="s">
        <v>294</v>
      </c>
      <c r="C81" s="9" t="s">
        <v>64</v>
      </c>
      <c r="D81" s="6" t="s">
        <v>137</v>
      </c>
      <c r="E81" s="6" t="s">
        <v>1754</v>
      </c>
      <c r="F81" s="12" t="s">
        <v>1755</v>
      </c>
      <c r="G81" s="10" t="n">
        <v>5.3</v>
      </c>
      <c r="H81" s="9" t="s">
        <v>1298</v>
      </c>
      <c r="I81" s="6" t="s">
        <v>1576</v>
      </c>
      <c r="J81" s="9" t="s">
        <v>1756</v>
      </c>
      <c r="K81" s="6"/>
      <c r="L81" s="6" t="s">
        <v>1585</v>
      </c>
      <c r="M81" s="9" t="s">
        <v>444</v>
      </c>
      <c r="N81" s="9" t="s">
        <v>1757</v>
      </c>
      <c r="O81" s="12" t="s">
        <v>1758</v>
      </c>
    </row>
    <row r="82" customFormat="false" ht="23.85" hidden="false" customHeight="false" outlineLevel="0" collapsed="false">
      <c r="A82" s="6" t="s">
        <v>134</v>
      </c>
      <c r="B82" s="9" t="s">
        <v>135</v>
      </c>
      <c r="C82" s="9" t="s">
        <v>64</v>
      </c>
      <c r="D82" s="6" t="s">
        <v>137</v>
      </c>
      <c r="E82" s="6" t="s">
        <v>1759</v>
      </c>
      <c r="F82" s="9" t="s">
        <v>1760</v>
      </c>
      <c r="G82" s="10" t="n">
        <v>3.8</v>
      </c>
      <c r="H82" s="9" t="s">
        <v>1761</v>
      </c>
      <c r="I82" s="6" t="s">
        <v>1311</v>
      </c>
      <c r="J82" s="6"/>
      <c r="K82" s="6" t="s">
        <v>1312</v>
      </c>
      <c r="L82" s="6" t="s">
        <v>1762</v>
      </c>
      <c r="M82" s="9" t="s">
        <v>444</v>
      </c>
      <c r="N82" s="9" t="s">
        <v>1763</v>
      </c>
      <c r="O82" s="12" t="s">
        <v>1764</v>
      </c>
    </row>
    <row r="83" customFormat="false" ht="23.85" hidden="false" customHeight="false" outlineLevel="0" collapsed="false">
      <c r="A83" s="6" t="s">
        <v>160</v>
      </c>
      <c r="B83" s="9" t="s">
        <v>161</v>
      </c>
      <c r="C83" s="9" t="s">
        <v>64</v>
      </c>
      <c r="D83" s="6" t="s">
        <v>163</v>
      </c>
      <c r="E83" s="6" t="s">
        <v>1765</v>
      </c>
      <c r="F83" s="9" t="s">
        <v>1766</v>
      </c>
      <c r="G83" s="10" t="n">
        <v>2.7</v>
      </c>
      <c r="H83" s="9" t="s">
        <v>1767</v>
      </c>
      <c r="I83" s="6" t="s">
        <v>1311</v>
      </c>
      <c r="J83" s="6"/>
      <c r="K83" s="6" t="s">
        <v>1312</v>
      </c>
      <c r="L83" s="6" t="s">
        <v>1768</v>
      </c>
      <c r="M83" s="9" t="s">
        <v>444</v>
      </c>
      <c r="N83" s="9" t="s">
        <v>1769</v>
      </c>
      <c r="O83" s="12" t="s">
        <v>1770</v>
      </c>
    </row>
    <row r="84" customFormat="false" ht="27.6" hidden="false" customHeight="false" outlineLevel="0" collapsed="false">
      <c r="A84" s="6" t="s">
        <v>61</v>
      </c>
      <c r="B84" s="9" t="s">
        <v>62</v>
      </c>
      <c r="C84" s="9" t="s">
        <v>64</v>
      </c>
      <c r="D84" s="6" t="s">
        <v>65</v>
      </c>
      <c r="E84" s="6" t="s">
        <v>1771</v>
      </c>
      <c r="F84" s="12" t="s">
        <v>1772</v>
      </c>
      <c r="G84" s="10" t="n">
        <v>0.1</v>
      </c>
      <c r="H84" s="9" t="s">
        <v>1773</v>
      </c>
      <c r="I84" s="6" t="s">
        <v>1576</v>
      </c>
      <c r="J84" s="9" t="s">
        <v>1774</v>
      </c>
      <c r="K84" s="6"/>
      <c r="L84" s="6" t="s">
        <v>1585</v>
      </c>
      <c r="M84" s="9" t="s">
        <v>444</v>
      </c>
      <c r="N84" s="9" t="s">
        <v>1775</v>
      </c>
      <c r="O84" s="12" t="s">
        <v>1776</v>
      </c>
    </row>
  </sheetData>
  <autoFilter ref="A4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8.35"/>
    <col collapsed="false" customWidth="true" hidden="false" outlineLevel="0" max="3" min="3" style="0" width="7.51"/>
    <col collapsed="false" customWidth="true" hidden="false" outlineLevel="0" max="4" min="4" style="0" width="18.36"/>
    <col collapsed="false" customWidth="true" hidden="false" outlineLevel="0" max="5" min="5" style="0" width="33.38"/>
    <col collapsed="false" customWidth="true" hidden="false" outlineLevel="0" max="6" min="6" style="0" width="43.4"/>
    <col collapsed="false" customWidth="true" hidden="false" outlineLevel="0" max="7" min="7" style="0" width="12.52"/>
    <col collapsed="false" customWidth="true" hidden="false" outlineLevel="0" max="9" min="8" style="0" width="11.68"/>
    <col collapsed="false" customWidth="true" hidden="false" outlineLevel="0" max="10" min="10" style="0" width="10.02"/>
    <col collapsed="false" customWidth="true" hidden="false" outlineLevel="0" max="11" min="11" style="0" width="15.02"/>
    <col collapsed="false" customWidth="true" hidden="false" outlineLevel="0" max="12" min="12" style="0" width="35.05"/>
    <col collapsed="false" customWidth="true" hidden="false" outlineLevel="0" max="13" min="13" style="0" width="10.02"/>
    <col collapsed="false" customWidth="true" hidden="false" outlineLevel="0" max="14" min="14" style="0" width="13.35"/>
    <col collapsed="false" customWidth="true" hidden="false" outlineLevel="0" max="15" min="15" style="0" width="38.39"/>
  </cols>
  <sheetData>
    <row r="1" customFormat="false" ht="17.35" hidden="false" customHeight="false" outlineLevel="0" collapsed="false">
      <c r="A1" s="1" t="s">
        <v>1777</v>
      </c>
    </row>
    <row r="2" customFormat="false" ht="15" hidden="false" customHeight="false" outlineLevel="0" collapsed="false">
      <c r="A2" s="2" t="s">
        <v>1778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41</v>
      </c>
      <c r="D4" s="5" t="s">
        <v>42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  <c r="J4" s="5" t="s">
        <v>434</v>
      </c>
      <c r="K4" s="5" t="s">
        <v>435</v>
      </c>
      <c r="L4" s="5" t="s">
        <v>436</v>
      </c>
      <c r="M4" s="5" t="s">
        <v>2</v>
      </c>
      <c r="N4" s="5" t="s">
        <v>437</v>
      </c>
      <c r="O4" s="5" t="s">
        <v>438</v>
      </c>
    </row>
    <row r="5" customFormat="false" ht="41.75" hidden="false" customHeight="false" outlineLevel="0" collapsed="false">
      <c r="A5" s="6" t="s">
        <v>208</v>
      </c>
      <c r="B5" s="9" t="s">
        <v>209</v>
      </c>
      <c r="C5" s="9" t="s">
        <v>52</v>
      </c>
      <c r="D5" s="9" t="s">
        <v>211</v>
      </c>
      <c r="E5" s="6" t="s">
        <v>1779</v>
      </c>
      <c r="F5" s="11" t="s">
        <v>1780</v>
      </c>
      <c r="G5" s="10" t="n">
        <v>71421.2</v>
      </c>
      <c r="H5" s="9" t="s">
        <v>1781</v>
      </c>
      <c r="I5" s="6" t="s">
        <v>1782</v>
      </c>
      <c r="J5" s="9" t="s">
        <v>1783</v>
      </c>
      <c r="K5" s="6"/>
      <c r="L5" s="6" t="s">
        <v>1784</v>
      </c>
      <c r="M5" s="9" t="s">
        <v>444</v>
      </c>
      <c r="N5" s="9" t="s">
        <v>1785</v>
      </c>
      <c r="O5" s="12" t="s">
        <v>1786</v>
      </c>
    </row>
    <row r="6" customFormat="false" ht="28.35" hidden="false" customHeight="false" outlineLevel="0" collapsed="false">
      <c r="A6" s="6" t="s">
        <v>185</v>
      </c>
      <c r="B6" s="9" t="s">
        <v>186</v>
      </c>
      <c r="C6" s="9" t="s">
        <v>52</v>
      </c>
      <c r="D6" s="6" t="s">
        <v>188</v>
      </c>
      <c r="E6" s="6" t="s">
        <v>1787</v>
      </c>
      <c r="F6" s="11" t="s">
        <v>1788</v>
      </c>
      <c r="G6" s="10" t="n">
        <v>70162.8</v>
      </c>
      <c r="H6" s="6" t="s">
        <v>1789</v>
      </c>
      <c r="I6" s="6" t="s">
        <v>1790</v>
      </c>
      <c r="J6" s="9" t="s">
        <v>1791</v>
      </c>
      <c r="K6" s="6"/>
      <c r="L6" s="6" t="s">
        <v>1792</v>
      </c>
      <c r="M6" s="9" t="s">
        <v>444</v>
      </c>
      <c r="N6" s="9" t="s">
        <v>1793</v>
      </c>
      <c r="O6" s="12" t="s">
        <v>1794</v>
      </c>
    </row>
    <row r="7" customFormat="false" ht="28.35" hidden="false" customHeight="false" outlineLevel="0" collapsed="false">
      <c r="A7" s="6" t="s">
        <v>169</v>
      </c>
      <c r="B7" s="9" t="s">
        <v>170</v>
      </c>
      <c r="C7" s="9" t="s">
        <v>52</v>
      </c>
      <c r="D7" s="6" t="s">
        <v>172</v>
      </c>
      <c r="E7" s="6" t="s">
        <v>1795</v>
      </c>
      <c r="F7" s="11" t="s">
        <v>1796</v>
      </c>
      <c r="G7" s="10" t="n">
        <v>47056</v>
      </c>
      <c r="H7" s="9" t="s">
        <v>1797</v>
      </c>
      <c r="I7" s="6" t="s">
        <v>1782</v>
      </c>
      <c r="J7" s="9" t="s">
        <v>1798</v>
      </c>
      <c r="K7" s="6"/>
      <c r="L7" s="6" t="s">
        <v>1799</v>
      </c>
      <c r="M7" s="9" t="s">
        <v>444</v>
      </c>
      <c r="N7" s="9" t="s">
        <v>1800</v>
      </c>
      <c r="O7" s="12" t="s">
        <v>1801</v>
      </c>
    </row>
    <row r="8" customFormat="false" ht="41" hidden="false" customHeight="false" outlineLevel="0" collapsed="false">
      <c r="A8" s="6" t="s">
        <v>287</v>
      </c>
      <c r="B8" s="9" t="s">
        <v>288</v>
      </c>
      <c r="C8" s="9" t="s">
        <v>52</v>
      </c>
      <c r="D8" s="6" t="s">
        <v>188</v>
      </c>
      <c r="E8" s="6" t="s">
        <v>1802</v>
      </c>
      <c r="F8" s="11" t="s">
        <v>1803</v>
      </c>
      <c r="G8" s="10" t="n">
        <v>36625.4</v>
      </c>
      <c r="H8" s="6" t="s">
        <v>1804</v>
      </c>
      <c r="I8" s="6" t="s">
        <v>1790</v>
      </c>
      <c r="J8" s="6"/>
      <c r="K8" s="6" t="s">
        <v>1805</v>
      </c>
      <c r="L8" s="6" t="s">
        <v>1806</v>
      </c>
      <c r="M8" s="9" t="s">
        <v>444</v>
      </c>
      <c r="N8" s="9" t="s">
        <v>1807</v>
      </c>
      <c r="O8" s="12" t="s">
        <v>1808</v>
      </c>
    </row>
    <row r="9" customFormat="false" ht="41.75" hidden="false" customHeight="false" outlineLevel="0" collapsed="false">
      <c r="A9" s="6" t="s">
        <v>193</v>
      </c>
      <c r="B9" s="9" t="s">
        <v>194</v>
      </c>
      <c r="C9" s="9" t="s">
        <v>52</v>
      </c>
      <c r="D9" s="6" t="s">
        <v>137</v>
      </c>
      <c r="E9" s="6" t="s">
        <v>1809</v>
      </c>
      <c r="F9" s="11" t="s">
        <v>1810</v>
      </c>
      <c r="G9" s="10" t="n">
        <v>30343.8</v>
      </c>
      <c r="H9" s="9" t="s">
        <v>1811</v>
      </c>
      <c r="I9" s="6" t="s">
        <v>1782</v>
      </c>
      <c r="J9" s="9" t="s">
        <v>1812</v>
      </c>
      <c r="K9" s="6"/>
      <c r="L9" s="6" t="s">
        <v>1813</v>
      </c>
      <c r="M9" s="9" t="s">
        <v>444</v>
      </c>
      <c r="N9" s="9" t="s">
        <v>1814</v>
      </c>
      <c r="O9" s="12" t="s">
        <v>1815</v>
      </c>
    </row>
    <row r="10" customFormat="false" ht="41.75" hidden="false" customHeight="false" outlineLevel="0" collapsed="false">
      <c r="A10" s="6" t="s">
        <v>257</v>
      </c>
      <c r="B10" s="9" t="s">
        <v>258</v>
      </c>
      <c r="C10" s="9" t="s">
        <v>52</v>
      </c>
      <c r="D10" s="6" t="s">
        <v>88</v>
      </c>
      <c r="E10" s="6" t="s">
        <v>1816</v>
      </c>
      <c r="F10" s="11" t="s">
        <v>1817</v>
      </c>
      <c r="G10" s="10" t="n">
        <v>21800</v>
      </c>
      <c r="H10" s="9" t="s">
        <v>1818</v>
      </c>
      <c r="I10" s="6" t="s">
        <v>1782</v>
      </c>
      <c r="J10" s="6"/>
      <c r="K10" s="6" t="s">
        <v>1805</v>
      </c>
      <c r="L10" s="6" t="s">
        <v>1806</v>
      </c>
      <c r="M10" s="9" t="s">
        <v>444</v>
      </c>
      <c r="N10" s="9" t="s">
        <v>1819</v>
      </c>
      <c r="O10" s="12" t="s">
        <v>1820</v>
      </c>
    </row>
    <row r="11" customFormat="false" ht="41" hidden="false" customHeight="false" outlineLevel="0" collapsed="false">
      <c r="A11" s="9" t="s">
        <v>234</v>
      </c>
      <c r="B11" s="9" t="s">
        <v>235</v>
      </c>
      <c r="C11" s="9" t="s">
        <v>52</v>
      </c>
      <c r="D11" s="6" t="s">
        <v>237</v>
      </c>
      <c r="E11" s="6" t="s">
        <v>1821</v>
      </c>
      <c r="F11" s="11" t="s">
        <v>1822</v>
      </c>
      <c r="G11" s="10" t="n">
        <v>21527.8</v>
      </c>
      <c r="H11" s="6" t="s">
        <v>1823</v>
      </c>
      <c r="I11" s="6" t="s">
        <v>1790</v>
      </c>
      <c r="J11" s="6"/>
      <c r="K11" s="6" t="s">
        <v>1805</v>
      </c>
      <c r="L11" s="6" t="s">
        <v>1806</v>
      </c>
      <c r="M11" s="9" t="s">
        <v>444</v>
      </c>
      <c r="N11" s="9" t="s">
        <v>1824</v>
      </c>
      <c r="O11" s="12" t="s">
        <v>1825</v>
      </c>
    </row>
    <row r="12" customFormat="false" ht="39.55" hidden="false" customHeight="false" outlineLevel="0" collapsed="false">
      <c r="A12" s="6" t="s">
        <v>293</v>
      </c>
      <c r="B12" s="9" t="s">
        <v>294</v>
      </c>
      <c r="C12" s="9" t="s">
        <v>64</v>
      </c>
      <c r="D12" s="6" t="s">
        <v>137</v>
      </c>
      <c r="E12" s="6" t="s">
        <v>1826</v>
      </c>
      <c r="F12" s="11" t="s">
        <v>1827</v>
      </c>
      <c r="G12" s="10" t="n">
        <v>15300</v>
      </c>
      <c r="H12" s="9" t="s">
        <v>510</v>
      </c>
      <c r="I12" s="6" t="s">
        <v>1782</v>
      </c>
      <c r="J12" s="9" t="s">
        <v>1828</v>
      </c>
      <c r="K12" s="6"/>
      <c r="L12" s="6" t="s">
        <v>1829</v>
      </c>
      <c r="M12" s="9" t="s">
        <v>444</v>
      </c>
      <c r="N12" s="9" t="s">
        <v>1830</v>
      </c>
      <c r="O12" s="12" t="s">
        <v>1831</v>
      </c>
    </row>
    <row r="13" customFormat="false" ht="41" hidden="false" customHeight="false" outlineLevel="0" collapsed="false">
      <c r="A13" s="9" t="s">
        <v>196</v>
      </c>
      <c r="B13" s="9" t="s">
        <v>197</v>
      </c>
      <c r="C13" s="9" t="s">
        <v>52</v>
      </c>
      <c r="D13" s="6" t="s">
        <v>199</v>
      </c>
      <c r="E13" s="6" t="s">
        <v>1832</v>
      </c>
      <c r="F13" s="11" t="s">
        <v>1833</v>
      </c>
      <c r="G13" s="10" t="n">
        <v>10724</v>
      </c>
      <c r="H13" s="9" t="s">
        <v>527</v>
      </c>
      <c r="I13" s="6" t="s">
        <v>1782</v>
      </c>
      <c r="J13" s="6"/>
      <c r="K13" s="6" t="s">
        <v>1805</v>
      </c>
      <c r="L13" s="6" t="s">
        <v>1806</v>
      </c>
      <c r="M13" s="9" t="s">
        <v>444</v>
      </c>
      <c r="N13" s="9" t="s">
        <v>1834</v>
      </c>
      <c r="O13" s="12" t="s">
        <v>1835</v>
      </c>
    </row>
    <row r="14" customFormat="false" ht="41" hidden="false" customHeight="false" outlineLevel="0" collapsed="false">
      <c r="A14" s="6" t="s">
        <v>222</v>
      </c>
      <c r="B14" s="9" t="s">
        <v>223</v>
      </c>
      <c r="C14" s="9" t="s">
        <v>52</v>
      </c>
      <c r="D14" s="6" t="s">
        <v>145</v>
      </c>
      <c r="E14" s="6" t="s">
        <v>1836</v>
      </c>
      <c r="F14" s="11" t="s">
        <v>1837</v>
      </c>
      <c r="G14" s="10" t="n">
        <v>9956.7</v>
      </c>
      <c r="H14" s="6" t="s">
        <v>1838</v>
      </c>
      <c r="I14" s="6" t="s">
        <v>1790</v>
      </c>
      <c r="J14" s="9" t="s">
        <v>1839</v>
      </c>
      <c r="K14" s="6"/>
      <c r="L14" s="6" t="s">
        <v>1792</v>
      </c>
      <c r="M14" s="9" t="s">
        <v>444</v>
      </c>
      <c r="N14" s="9" t="s">
        <v>1840</v>
      </c>
      <c r="O14" s="12" t="s">
        <v>1841</v>
      </c>
    </row>
    <row r="15" customFormat="false" ht="41" hidden="false" customHeight="false" outlineLevel="0" collapsed="false">
      <c r="A15" s="6" t="s">
        <v>239</v>
      </c>
      <c r="B15" s="9" t="s">
        <v>240</v>
      </c>
      <c r="C15" s="9" t="s">
        <v>64</v>
      </c>
      <c r="D15" s="6" t="s">
        <v>242</v>
      </c>
      <c r="E15" s="6" t="s">
        <v>1842</v>
      </c>
      <c r="F15" s="11" t="s">
        <v>1843</v>
      </c>
      <c r="G15" s="10" t="n">
        <v>7874.6</v>
      </c>
      <c r="H15" s="9" t="s">
        <v>1844</v>
      </c>
      <c r="I15" s="6" t="s">
        <v>1782</v>
      </c>
      <c r="J15" s="6"/>
      <c r="K15" s="6" t="s">
        <v>1805</v>
      </c>
      <c r="L15" s="6" t="s">
        <v>1806</v>
      </c>
      <c r="M15" s="9" t="s">
        <v>444</v>
      </c>
      <c r="N15" s="9" t="s">
        <v>1845</v>
      </c>
      <c r="O15" s="12" t="s">
        <v>1846</v>
      </c>
    </row>
    <row r="16" customFormat="false" ht="41" hidden="false" customHeight="false" outlineLevel="0" collapsed="false">
      <c r="A16" s="6" t="s">
        <v>228</v>
      </c>
      <c r="B16" s="9" t="s">
        <v>229</v>
      </c>
      <c r="C16" s="9" t="s">
        <v>64</v>
      </c>
      <c r="D16" s="6" t="s">
        <v>199</v>
      </c>
      <c r="E16" s="6" t="s">
        <v>1847</v>
      </c>
      <c r="F16" s="11" t="s">
        <v>1848</v>
      </c>
      <c r="G16" s="10" t="n">
        <v>7548.3</v>
      </c>
      <c r="H16" s="9" t="s">
        <v>1849</v>
      </c>
      <c r="I16" s="6" t="s">
        <v>1782</v>
      </c>
      <c r="J16" s="6"/>
      <c r="K16" s="6" t="s">
        <v>1805</v>
      </c>
      <c r="L16" s="6" t="s">
        <v>1806</v>
      </c>
      <c r="M16" s="9" t="s">
        <v>444</v>
      </c>
      <c r="N16" s="9" t="s">
        <v>1850</v>
      </c>
      <c r="O16" s="12" t="s">
        <v>1851</v>
      </c>
    </row>
    <row r="17" customFormat="false" ht="28.35" hidden="false" customHeight="false" outlineLevel="0" collapsed="false">
      <c r="A17" s="9" t="s">
        <v>280</v>
      </c>
      <c r="B17" s="9" t="s">
        <v>281</v>
      </c>
      <c r="C17" s="9" t="s">
        <v>52</v>
      </c>
      <c r="D17" s="6" t="s">
        <v>75</v>
      </c>
      <c r="E17" s="6" t="s">
        <v>1852</v>
      </c>
      <c r="F17" s="11" t="s">
        <v>1853</v>
      </c>
      <c r="G17" s="10" t="n">
        <v>5858.9</v>
      </c>
      <c r="H17" s="6" t="s">
        <v>1854</v>
      </c>
      <c r="I17" s="6" t="s">
        <v>1790</v>
      </c>
      <c r="J17" s="6"/>
      <c r="K17" s="6" t="s">
        <v>1805</v>
      </c>
      <c r="L17" s="6" t="s">
        <v>1806</v>
      </c>
      <c r="M17" s="9" t="s">
        <v>444</v>
      </c>
      <c r="N17" s="9" t="s">
        <v>1855</v>
      </c>
      <c r="O17" s="12" t="s">
        <v>1856</v>
      </c>
    </row>
    <row r="18" customFormat="false" ht="28.35" hidden="false" customHeight="false" outlineLevel="0" collapsed="false">
      <c r="A18" s="6" t="s">
        <v>338</v>
      </c>
      <c r="B18" s="9" t="s">
        <v>339</v>
      </c>
      <c r="C18" s="9" t="s">
        <v>52</v>
      </c>
      <c r="D18" s="6" t="s">
        <v>167</v>
      </c>
      <c r="E18" s="6" t="s">
        <v>1857</v>
      </c>
      <c r="F18" s="11" t="s">
        <v>1858</v>
      </c>
      <c r="G18" s="10" t="n">
        <v>5480</v>
      </c>
      <c r="H18" s="9" t="s">
        <v>1859</v>
      </c>
      <c r="I18" s="6" t="s">
        <v>1782</v>
      </c>
      <c r="J18" s="6"/>
      <c r="K18" s="6" t="s">
        <v>1805</v>
      </c>
      <c r="L18" s="6" t="s">
        <v>1806</v>
      </c>
      <c r="M18" s="9" t="s">
        <v>444</v>
      </c>
      <c r="N18" s="9" t="s">
        <v>1860</v>
      </c>
      <c r="O18" s="12" t="s">
        <v>1861</v>
      </c>
    </row>
    <row r="19" customFormat="false" ht="28.35" hidden="false" customHeight="false" outlineLevel="0" collapsed="false">
      <c r="A19" s="9" t="s">
        <v>411</v>
      </c>
      <c r="B19" s="9" t="s">
        <v>412</v>
      </c>
      <c r="C19" s="9" t="s">
        <v>52</v>
      </c>
      <c r="D19" s="6" t="s">
        <v>65</v>
      </c>
      <c r="E19" s="6" t="s">
        <v>1802</v>
      </c>
      <c r="F19" s="11" t="s">
        <v>1862</v>
      </c>
      <c r="G19" s="10" t="n">
        <v>4488</v>
      </c>
      <c r="H19" s="6" t="s">
        <v>1863</v>
      </c>
      <c r="I19" s="6" t="s">
        <v>1790</v>
      </c>
      <c r="J19" s="9" t="s">
        <v>1864</v>
      </c>
      <c r="K19" s="6"/>
      <c r="L19" s="6" t="s">
        <v>1792</v>
      </c>
      <c r="M19" s="9" t="s">
        <v>444</v>
      </c>
      <c r="N19" s="9" t="s">
        <v>1865</v>
      </c>
      <c r="O19" s="12" t="s">
        <v>1866</v>
      </c>
    </row>
    <row r="20" customFormat="false" ht="41.75" hidden="false" customHeight="false" outlineLevel="0" collapsed="false">
      <c r="A20" s="6" t="s">
        <v>266</v>
      </c>
      <c r="B20" s="9" t="s">
        <v>267</v>
      </c>
      <c r="C20" s="9" t="s">
        <v>52</v>
      </c>
      <c r="D20" s="6" t="s">
        <v>99</v>
      </c>
      <c r="E20" s="6" t="s">
        <v>1867</v>
      </c>
      <c r="F20" s="11" t="s">
        <v>1868</v>
      </c>
      <c r="G20" s="10" t="n">
        <v>3890.5</v>
      </c>
      <c r="H20" s="9" t="s">
        <v>1869</v>
      </c>
      <c r="I20" s="6" t="s">
        <v>1782</v>
      </c>
      <c r="J20" s="6"/>
      <c r="K20" s="6" t="s">
        <v>1805</v>
      </c>
      <c r="L20" s="6" t="s">
        <v>1806</v>
      </c>
      <c r="M20" s="9" t="s">
        <v>444</v>
      </c>
      <c r="N20" s="9" t="s">
        <v>1870</v>
      </c>
      <c r="O20" s="12" t="s">
        <v>1871</v>
      </c>
    </row>
    <row r="21" customFormat="false" ht="41.75" hidden="false" customHeight="false" outlineLevel="0" collapsed="false">
      <c r="A21" s="6" t="s">
        <v>243</v>
      </c>
      <c r="B21" s="9" t="s">
        <v>244</v>
      </c>
      <c r="C21" s="9" t="s">
        <v>52</v>
      </c>
      <c r="D21" s="6" t="s">
        <v>246</v>
      </c>
      <c r="E21" s="6" t="s">
        <v>1872</v>
      </c>
      <c r="F21" s="11" t="s">
        <v>1873</v>
      </c>
      <c r="G21" s="10" t="n">
        <v>3500</v>
      </c>
      <c r="H21" s="9" t="s">
        <v>1874</v>
      </c>
      <c r="I21" s="6" t="s">
        <v>1782</v>
      </c>
      <c r="J21" s="6"/>
      <c r="K21" s="6" t="s">
        <v>1805</v>
      </c>
      <c r="L21" s="6" t="s">
        <v>1806</v>
      </c>
      <c r="M21" s="9" t="s">
        <v>444</v>
      </c>
      <c r="N21" s="9" t="s">
        <v>1875</v>
      </c>
      <c r="O21" s="12" t="s">
        <v>1876</v>
      </c>
    </row>
    <row r="22" customFormat="false" ht="28.35" hidden="false" customHeight="false" outlineLevel="0" collapsed="false">
      <c r="A22" s="6" t="s">
        <v>356</v>
      </c>
      <c r="B22" s="9" t="s">
        <v>357</v>
      </c>
      <c r="C22" s="9" t="s">
        <v>52</v>
      </c>
      <c r="D22" s="6" t="s">
        <v>93</v>
      </c>
      <c r="E22" s="6" t="s">
        <v>1877</v>
      </c>
      <c r="F22" s="11" t="s">
        <v>1878</v>
      </c>
      <c r="G22" s="10" t="n">
        <v>2700</v>
      </c>
      <c r="H22" s="9" t="s">
        <v>1879</v>
      </c>
      <c r="I22" s="6" t="s">
        <v>1782</v>
      </c>
      <c r="J22" s="9" t="s">
        <v>1880</v>
      </c>
      <c r="K22" s="6"/>
      <c r="L22" s="6" t="s">
        <v>1881</v>
      </c>
      <c r="M22" s="9" t="s">
        <v>444</v>
      </c>
      <c r="N22" s="9" t="s">
        <v>1882</v>
      </c>
      <c r="O22" s="12" t="s">
        <v>1883</v>
      </c>
    </row>
    <row r="23" customFormat="false" ht="28.35" hidden="false" customHeight="false" outlineLevel="0" collapsed="false">
      <c r="A23" s="6" t="s">
        <v>260</v>
      </c>
      <c r="B23" s="9" t="s">
        <v>261</v>
      </c>
      <c r="C23" s="9" t="s">
        <v>52</v>
      </c>
      <c r="D23" s="6" t="s">
        <v>109</v>
      </c>
      <c r="E23" s="6" t="s">
        <v>1884</v>
      </c>
      <c r="F23" s="11" t="s">
        <v>1885</v>
      </c>
      <c r="G23" s="10" t="n">
        <v>2220</v>
      </c>
      <c r="H23" s="9" t="s">
        <v>1886</v>
      </c>
      <c r="I23" s="6" t="s">
        <v>1782</v>
      </c>
      <c r="J23" s="9" t="s">
        <v>1887</v>
      </c>
      <c r="K23" s="6"/>
      <c r="L23" s="6" t="s">
        <v>1888</v>
      </c>
      <c r="M23" s="9" t="s">
        <v>444</v>
      </c>
      <c r="N23" s="9" t="s">
        <v>1889</v>
      </c>
      <c r="O23" s="12" t="s">
        <v>1890</v>
      </c>
    </row>
    <row r="24" customFormat="false" ht="28.35" hidden="false" customHeight="false" outlineLevel="0" collapsed="false">
      <c r="A24" s="6" t="s">
        <v>67</v>
      </c>
      <c r="B24" s="9" t="s">
        <v>68</v>
      </c>
      <c r="C24" s="9" t="s">
        <v>64</v>
      </c>
      <c r="D24" s="6" t="s">
        <v>70</v>
      </c>
      <c r="E24" s="6" t="s">
        <v>1802</v>
      </c>
      <c r="F24" s="11" t="s">
        <v>1891</v>
      </c>
      <c r="G24" s="10" t="n">
        <v>2041.8</v>
      </c>
      <c r="H24" s="6" t="s">
        <v>1892</v>
      </c>
      <c r="I24" s="6" t="s">
        <v>1790</v>
      </c>
      <c r="J24" s="6"/>
      <c r="K24" s="6" t="s">
        <v>1805</v>
      </c>
      <c r="L24" s="6" t="s">
        <v>1806</v>
      </c>
      <c r="M24" s="9" t="s">
        <v>444</v>
      </c>
      <c r="N24" s="9" t="s">
        <v>1893</v>
      </c>
      <c r="O24" s="12" t="s">
        <v>1894</v>
      </c>
    </row>
    <row r="25" customFormat="false" ht="41.75" hidden="false" customHeight="false" outlineLevel="0" collapsed="false">
      <c r="A25" s="9" t="s">
        <v>371</v>
      </c>
      <c r="B25" s="9" t="s">
        <v>372</v>
      </c>
      <c r="C25" s="9" t="s">
        <v>52</v>
      </c>
      <c r="D25" s="6" t="s">
        <v>149</v>
      </c>
      <c r="E25" s="6" t="s">
        <v>1895</v>
      </c>
      <c r="F25" s="11" t="s">
        <v>1896</v>
      </c>
      <c r="G25" s="10" t="n">
        <v>1900</v>
      </c>
      <c r="H25" s="9" t="s">
        <v>1897</v>
      </c>
      <c r="I25" s="6" t="s">
        <v>1782</v>
      </c>
      <c r="J25" s="9" t="s">
        <v>1577</v>
      </c>
      <c r="K25" s="6"/>
      <c r="L25" s="6" t="s">
        <v>1898</v>
      </c>
      <c r="M25" s="9" t="s">
        <v>444</v>
      </c>
      <c r="N25" s="9" t="s">
        <v>1899</v>
      </c>
      <c r="O25" s="12" t="s">
        <v>1900</v>
      </c>
    </row>
    <row r="26" customFormat="false" ht="28.35" hidden="false" customHeight="false" outlineLevel="0" collapsed="false">
      <c r="A26" s="6" t="s">
        <v>299</v>
      </c>
      <c r="B26" s="9" t="s">
        <v>300</v>
      </c>
      <c r="C26" s="9" t="s">
        <v>52</v>
      </c>
      <c r="D26" s="6" t="s">
        <v>242</v>
      </c>
      <c r="E26" s="6" t="s">
        <v>1901</v>
      </c>
      <c r="F26" s="11" t="s">
        <v>1902</v>
      </c>
      <c r="G26" s="10" t="n">
        <v>1526</v>
      </c>
      <c r="H26" s="9" t="s">
        <v>1903</v>
      </c>
      <c r="I26" s="6" t="s">
        <v>1782</v>
      </c>
      <c r="J26" s="9" t="s">
        <v>1904</v>
      </c>
      <c r="K26" s="6"/>
      <c r="L26" s="6" t="s">
        <v>1905</v>
      </c>
      <c r="M26" s="9" t="s">
        <v>444</v>
      </c>
      <c r="N26" s="9" t="s">
        <v>1906</v>
      </c>
      <c r="O26" s="12" t="s">
        <v>1907</v>
      </c>
    </row>
    <row r="27" customFormat="false" ht="41" hidden="false" customHeight="false" outlineLevel="0" collapsed="false">
      <c r="A27" s="6" t="s">
        <v>352</v>
      </c>
      <c r="B27" s="9" t="s">
        <v>353</v>
      </c>
      <c r="C27" s="9" t="s">
        <v>64</v>
      </c>
      <c r="D27" s="6" t="s">
        <v>355</v>
      </c>
      <c r="E27" s="6" t="s">
        <v>1908</v>
      </c>
      <c r="F27" s="11" t="s">
        <v>1909</v>
      </c>
      <c r="G27" s="10" t="n">
        <v>1458</v>
      </c>
      <c r="H27" s="9" t="s">
        <v>1910</v>
      </c>
      <c r="I27" s="6" t="s">
        <v>1782</v>
      </c>
      <c r="J27" s="6"/>
      <c r="K27" s="6" t="s">
        <v>1805</v>
      </c>
      <c r="L27" s="6" t="s">
        <v>1806</v>
      </c>
      <c r="M27" s="9" t="s">
        <v>444</v>
      </c>
      <c r="N27" s="9" t="s">
        <v>1911</v>
      </c>
      <c r="O27" s="12" t="s">
        <v>1912</v>
      </c>
    </row>
    <row r="28" customFormat="false" ht="28.35" hidden="false" customHeight="false" outlineLevel="0" collapsed="false">
      <c r="A28" s="6" t="s">
        <v>250</v>
      </c>
      <c r="B28" s="9" t="s">
        <v>251</v>
      </c>
      <c r="C28" s="9" t="s">
        <v>52</v>
      </c>
      <c r="D28" s="6" t="s">
        <v>253</v>
      </c>
      <c r="E28" s="6" t="s">
        <v>1802</v>
      </c>
      <c r="F28" s="11" t="s">
        <v>1913</v>
      </c>
      <c r="G28" s="10" t="n">
        <v>1345.9</v>
      </c>
      <c r="H28" s="6" t="s">
        <v>1914</v>
      </c>
      <c r="I28" s="6" t="s">
        <v>1790</v>
      </c>
      <c r="J28" s="9" t="s">
        <v>1915</v>
      </c>
      <c r="K28" s="6"/>
      <c r="L28" s="6" t="s">
        <v>1792</v>
      </c>
      <c r="M28" s="9" t="s">
        <v>444</v>
      </c>
      <c r="N28" s="9" t="s">
        <v>1916</v>
      </c>
      <c r="O28" s="12" t="s">
        <v>1917</v>
      </c>
    </row>
    <row r="29" customFormat="false" ht="41.75" hidden="false" customHeight="false" outlineLevel="0" collapsed="false">
      <c r="A29" s="6" t="s">
        <v>296</v>
      </c>
      <c r="B29" s="9" t="s">
        <v>297</v>
      </c>
      <c r="C29" s="9" t="s">
        <v>52</v>
      </c>
      <c r="D29" s="6" t="s">
        <v>237</v>
      </c>
      <c r="E29" s="6" t="s">
        <v>1918</v>
      </c>
      <c r="F29" s="11" t="s">
        <v>1919</v>
      </c>
      <c r="G29" s="10" t="n">
        <v>1185.9</v>
      </c>
      <c r="H29" s="6" t="s">
        <v>1920</v>
      </c>
      <c r="I29" s="6" t="s">
        <v>1790</v>
      </c>
      <c r="J29" s="6"/>
      <c r="K29" s="6" t="s">
        <v>1805</v>
      </c>
      <c r="L29" s="6" t="s">
        <v>1806</v>
      </c>
      <c r="M29" s="9" t="s">
        <v>444</v>
      </c>
      <c r="N29" s="9" t="s">
        <v>1921</v>
      </c>
      <c r="O29" s="12" t="s">
        <v>1922</v>
      </c>
    </row>
    <row r="30" customFormat="false" ht="28.35" hidden="false" customHeight="false" outlineLevel="0" collapsed="false">
      <c r="A30" s="6" t="s">
        <v>247</v>
      </c>
      <c r="B30" s="9" t="s">
        <v>248</v>
      </c>
      <c r="C30" s="9" t="s">
        <v>52</v>
      </c>
      <c r="D30" s="6" t="s">
        <v>109</v>
      </c>
      <c r="E30" s="6" t="s">
        <v>1923</v>
      </c>
      <c r="F30" s="11" t="s">
        <v>1924</v>
      </c>
      <c r="G30" s="10" t="n">
        <v>1166</v>
      </c>
      <c r="H30" s="9" t="s">
        <v>1925</v>
      </c>
      <c r="I30" s="6" t="s">
        <v>1782</v>
      </c>
      <c r="J30" s="9" t="s">
        <v>1926</v>
      </c>
      <c r="K30" s="6"/>
      <c r="L30" s="6" t="s">
        <v>1927</v>
      </c>
      <c r="M30" s="9" t="s">
        <v>444</v>
      </c>
      <c r="N30" s="9" t="s">
        <v>1928</v>
      </c>
      <c r="O30" s="12" t="s">
        <v>1929</v>
      </c>
    </row>
    <row r="31" customFormat="false" ht="41" hidden="false" customHeight="false" outlineLevel="0" collapsed="false">
      <c r="A31" s="6" t="s">
        <v>312</v>
      </c>
      <c r="B31" s="9" t="s">
        <v>313</v>
      </c>
      <c r="C31" s="9" t="s">
        <v>52</v>
      </c>
      <c r="D31" s="6" t="s">
        <v>199</v>
      </c>
      <c r="E31" s="6" t="s">
        <v>1930</v>
      </c>
      <c r="F31" s="11" t="s">
        <v>1931</v>
      </c>
      <c r="G31" s="10" t="n">
        <v>1142.2</v>
      </c>
      <c r="H31" s="9" t="s">
        <v>1932</v>
      </c>
      <c r="I31" s="6" t="s">
        <v>1782</v>
      </c>
      <c r="J31" s="6"/>
      <c r="K31" s="6" t="s">
        <v>1805</v>
      </c>
      <c r="L31" s="6" t="s">
        <v>1806</v>
      </c>
      <c r="M31" s="9" t="s">
        <v>444</v>
      </c>
      <c r="N31" s="9" t="s">
        <v>1933</v>
      </c>
      <c r="O31" s="12" t="s">
        <v>1934</v>
      </c>
    </row>
    <row r="32" customFormat="false" ht="28.35" hidden="false" customHeight="false" outlineLevel="0" collapsed="false">
      <c r="A32" s="6" t="s">
        <v>377</v>
      </c>
      <c r="B32" s="9" t="s">
        <v>378</v>
      </c>
      <c r="C32" s="9" t="s">
        <v>52</v>
      </c>
      <c r="D32" s="6" t="s">
        <v>132</v>
      </c>
      <c r="E32" s="6" t="s">
        <v>1935</v>
      </c>
      <c r="F32" s="11" t="s">
        <v>1936</v>
      </c>
      <c r="G32" s="10" t="n">
        <v>1087</v>
      </c>
      <c r="H32" s="9" t="s">
        <v>1937</v>
      </c>
      <c r="I32" s="6" t="s">
        <v>1782</v>
      </c>
      <c r="J32" s="6"/>
      <c r="K32" s="6" t="s">
        <v>1805</v>
      </c>
      <c r="L32" s="6" t="s">
        <v>1806</v>
      </c>
      <c r="M32" s="9" t="s">
        <v>444</v>
      </c>
      <c r="N32" s="9" t="s">
        <v>1938</v>
      </c>
      <c r="O32" s="12" t="s">
        <v>1939</v>
      </c>
    </row>
    <row r="33" customFormat="false" ht="28.35" hidden="false" customHeight="false" outlineLevel="0" collapsed="false">
      <c r="A33" s="6" t="s">
        <v>365</v>
      </c>
      <c r="B33" s="9" t="s">
        <v>366</v>
      </c>
      <c r="C33" s="9" t="s">
        <v>64</v>
      </c>
      <c r="D33" s="6" t="s">
        <v>88</v>
      </c>
      <c r="E33" s="6" t="s">
        <v>1940</v>
      </c>
      <c r="F33" s="11" t="s">
        <v>1941</v>
      </c>
      <c r="G33" s="10" t="n">
        <v>1060</v>
      </c>
      <c r="H33" s="9" t="s">
        <v>658</v>
      </c>
      <c r="I33" s="6" t="s">
        <v>1782</v>
      </c>
      <c r="J33" s="9" t="s">
        <v>1942</v>
      </c>
      <c r="K33" s="6"/>
      <c r="L33" s="6" t="s">
        <v>1943</v>
      </c>
      <c r="M33" s="9" t="s">
        <v>444</v>
      </c>
      <c r="N33" s="9" t="s">
        <v>1944</v>
      </c>
      <c r="O33" s="12" t="s">
        <v>1945</v>
      </c>
    </row>
    <row r="34" customFormat="false" ht="41" hidden="false" customHeight="false" outlineLevel="0" collapsed="false">
      <c r="A34" s="6" t="s">
        <v>380</v>
      </c>
      <c r="B34" s="9" t="s">
        <v>381</v>
      </c>
      <c r="C34" s="9" t="s">
        <v>64</v>
      </c>
      <c r="D34" s="6" t="s">
        <v>88</v>
      </c>
      <c r="E34" s="6" t="s">
        <v>1946</v>
      </c>
      <c r="F34" s="11" t="s">
        <v>1947</v>
      </c>
      <c r="G34" s="10" t="n">
        <v>1040</v>
      </c>
      <c r="H34" s="9" t="s">
        <v>1948</v>
      </c>
      <c r="I34" s="6" t="s">
        <v>1782</v>
      </c>
      <c r="J34" s="9" t="s">
        <v>1839</v>
      </c>
      <c r="K34" s="6"/>
      <c r="L34" s="6" t="s">
        <v>1949</v>
      </c>
      <c r="M34" s="9" t="s">
        <v>444</v>
      </c>
      <c r="N34" s="9" t="s">
        <v>1950</v>
      </c>
      <c r="O34" s="12" t="s">
        <v>1951</v>
      </c>
    </row>
    <row r="35" customFormat="false" ht="28.35" hidden="false" customHeight="false" outlineLevel="0" collapsed="false">
      <c r="A35" s="6" t="s">
        <v>322</v>
      </c>
      <c r="B35" s="9" t="s">
        <v>323</v>
      </c>
      <c r="C35" s="9" t="s">
        <v>64</v>
      </c>
      <c r="D35" s="6" t="s">
        <v>272</v>
      </c>
      <c r="E35" s="6" t="s">
        <v>1952</v>
      </c>
      <c r="F35" s="11" t="s">
        <v>1953</v>
      </c>
      <c r="G35" s="10" t="n">
        <v>900</v>
      </c>
      <c r="H35" s="9" t="s">
        <v>1954</v>
      </c>
      <c r="I35" s="6" t="s">
        <v>1782</v>
      </c>
      <c r="J35" s="9" t="s">
        <v>1955</v>
      </c>
      <c r="K35" s="6"/>
      <c r="L35" s="6" t="s">
        <v>1956</v>
      </c>
      <c r="M35" s="9" t="s">
        <v>444</v>
      </c>
      <c r="N35" s="9" t="s">
        <v>1957</v>
      </c>
      <c r="O35" s="12" t="s">
        <v>1958</v>
      </c>
    </row>
    <row r="36" customFormat="false" ht="41" hidden="false" customHeight="false" outlineLevel="0" collapsed="false">
      <c r="A36" s="6" t="s">
        <v>402</v>
      </c>
      <c r="B36" s="9" t="s">
        <v>403</v>
      </c>
      <c r="C36" s="9" t="s">
        <v>64</v>
      </c>
      <c r="D36" s="6" t="s">
        <v>405</v>
      </c>
      <c r="E36" s="6" t="s">
        <v>1959</v>
      </c>
      <c r="F36" s="11" t="s">
        <v>1960</v>
      </c>
      <c r="G36" s="10" t="n">
        <v>787.8</v>
      </c>
      <c r="H36" s="9" t="s">
        <v>1961</v>
      </c>
      <c r="I36" s="6" t="s">
        <v>1782</v>
      </c>
      <c r="J36" s="6"/>
      <c r="K36" s="6" t="s">
        <v>1805</v>
      </c>
      <c r="L36" s="6" t="s">
        <v>1806</v>
      </c>
      <c r="M36" s="9" t="s">
        <v>1119</v>
      </c>
      <c r="N36" s="9" t="s">
        <v>1962</v>
      </c>
      <c r="O36" s="12" t="s">
        <v>1963</v>
      </c>
    </row>
    <row r="37" customFormat="false" ht="41" hidden="false" customHeight="false" outlineLevel="0" collapsed="false">
      <c r="A37" s="9" t="s">
        <v>90</v>
      </c>
      <c r="B37" s="9" t="s">
        <v>91</v>
      </c>
      <c r="C37" s="9" t="s">
        <v>64</v>
      </c>
      <c r="D37" s="6" t="s">
        <v>93</v>
      </c>
      <c r="E37" s="6" t="s">
        <v>1964</v>
      </c>
      <c r="F37" s="11" t="s">
        <v>1965</v>
      </c>
      <c r="G37" s="10" t="n">
        <v>759</v>
      </c>
      <c r="H37" s="9" t="s">
        <v>1966</v>
      </c>
      <c r="I37" s="6" t="s">
        <v>1782</v>
      </c>
      <c r="J37" s="6"/>
      <c r="K37" s="6" t="s">
        <v>1805</v>
      </c>
      <c r="L37" s="6" t="s">
        <v>1806</v>
      </c>
      <c r="M37" s="9" t="s">
        <v>1547</v>
      </c>
      <c r="N37" s="9" t="s">
        <v>1967</v>
      </c>
      <c r="O37" s="12" t="s">
        <v>1968</v>
      </c>
    </row>
    <row r="38" customFormat="false" ht="28.35" hidden="false" customHeight="false" outlineLevel="0" collapsed="false">
      <c r="A38" s="6" t="s">
        <v>283</v>
      </c>
      <c r="B38" s="9" t="s">
        <v>284</v>
      </c>
      <c r="C38" s="9" t="s">
        <v>64</v>
      </c>
      <c r="D38" s="6" t="s">
        <v>99</v>
      </c>
      <c r="E38" s="6" t="s">
        <v>1969</v>
      </c>
      <c r="F38" s="11" t="s">
        <v>1970</v>
      </c>
      <c r="G38" s="10" t="n">
        <v>742</v>
      </c>
      <c r="H38" s="9" t="s">
        <v>1971</v>
      </c>
      <c r="I38" s="6" t="s">
        <v>1782</v>
      </c>
      <c r="J38" s="9" t="s">
        <v>1972</v>
      </c>
      <c r="K38" s="6"/>
      <c r="L38" s="6" t="s">
        <v>1973</v>
      </c>
      <c r="M38" s="9" t="s">
        <v>444</v>
      </c>
      <c r="N38" s="9" t="s">
        <v>1974</v>
      </c>
      <c r="O38" s="12" t="s">
        <v>1975</v>
      </c>
    </row>
    <row r="39" customFormat="false" ht="28.35" hidden="false" customHeight="false" outlineLevel="0" collapsed="false">
      <c r="A39" s="9" t="s">
        <v>106</v>
      </c>
      <c r="B39" s="9" t="s">
        <v>107</v>
      </c>
      <c r="C39" s="9" t="s">
        <v>52</v>
      </c>
      <c r="D39" s="6" t="s">
        <v>109</v>
      </c>
      <c r="E39" s="6" t="s">
        <v>1976</v>
      </c>
      <c r="F39" s="11" t="s">
        <v>1977</v>
      </c>
      <c r="G39" s="10" t="n">
        <v>703.9</v>
      </c>
      <c r="H39" s="6" t="s">
        <v>1978</v>
      </c>
      <c r="I39" s="6" t="s">
        <v>1790</v>
      </c>
      <c r="J39" s="9" t="s">
        <v>1979</v>
      </c>
      <c r="K39" s="6"/>
      <c r="L39" s="6" t="s">
        <v>1792</v>
      </c>
      <c r="M39" s="9" t="s">
        <v>444</v>
      </c>
      <c r="N39" s="9" t="s">
        <v>1980</v>
      </c>
      <c r="O39" s="12" t="s">
        <v>1981</v>
      </c>
    </row>
    <row r="40" customFormat="false" ht="41" hidden="false" customHeight="false" outlineLevel="0" collapsed="false">
      <c r="A40" s="6" t="s">
        <v>61</v>
      </c>
      <c r="B40" s="9" t="s">
        <v>62</v>
      </c>
      <c r="C40" s="9" t="s">
        <v>64</v>
      </c>
      <c r="D40" s="6" t="s">
        <v>65</v>
      </c>
      <c r="E40" s="6" t="s">
        <v>1982</v>
      </c>
      <c r="F40" s="11" t="s">
        <v>1983</v>
      </c>
      <c r="G40" s="10" t="n">
        <v>560</v>
      </c>
      <c r="H40" s="9" t="s">
        <v>1984</v>
      </c>
      <c r="I40" s="6" t="s">
        <v>1782</v>
      </c>
      <c r="J40" s="9" t="s">
        <v>1985</v>
      </c>
      <c r="K40" s="6"/>
      <c r="L40" s="6" t="s">
        <v>1986</v>
      </c>
      <c r="M40" s="9" t="s">
        <v>444</v>
      </c>
      <c r="N40" s="9" t="s">
        <v>1987</v>
      </c>
      <c r="O40" s="12" t="s">
        <v>1988</v>
      </c>
    </row>
    <row r="41" customFormat="false" ht="28.35" hidden="false" customHeight="false" outlineLevel="0" collapsed="false">
      <c r="A41" s="6" t="s">
        <v>384</v>
      </c>
      <c r="B41" s="9" t="s">
        <v>385</v>
      </c>
      <c r="C41" s="9" t="s">
        <v>64</v>
      </c>
      <c r="D41" s="6" t="s">
        <v>99</v>
      </c>
      <c r="E41" s="6" t="s">
        <v>1989</v>
      </c>
      <c r="F41" s="11" t="s">
        <v>1990</v>
      </c>
      <c r="G41" s="10" t="n">
        <v>540</v>
      </c>
      <c r="H41" s="9" t="s">
        <v>1991</v>
      </c>
      <c r="I41" s="6" t="s">
        <v>1782</v>
      </c>
      <c r="J41" s="9" t="s">
        <v>1992</v>
      </c>
      <c r="K41" s="6"/>
      <c r="L41" s="6" t="s">
        <v>1993</v>
      </c>
      <c r="M41" s="9" t="s">
        <v>444</v>
      </c>
      <c r="N41" s="9" t="s">
        <v>1994</v>
      </c>
      <c r="O41" s="12" t="s">
        <v>1995</v>
      </c>
    </row>
    <row r="42" customFormat="false" ht="28.35" hidden="false" customHeight="false" outlineLevel="0" collapsed="false">
      <c r="A42" s="6" t="s">
        <v>217</v>
      </c>
      <c r="B42" s="9" t="s">
        <v>218</v>
      </c>
      <c r="C42" s="9" t="s">
        <v>52</v>
      </c>
      <c r="D42" s="6" t="s">
        <v>220</v>
      </c>
      <c r="E42" s="6" t="s">
        <v>1996</v>
      </c>
      <c r="F42" s="11" t="s">
        <v>1997</v>
      </c>
      <c r="G42" s="10" t="n">
        <v>400</v>
      </c>
      <c r="H42" s="9" t="s">
        <v>1506</v>
      </c>
      <c r="I42" s="6" t="s">
        <v>1782</v>
      </c>
      <c r="J42" s="6"/>
      <c r="K42" s="6" t="s">
        <v>1805</v>
      </c>
      <c r="L42" s="6" t="s">
        <v>1806</v>
      </c>
      <c r="M42" s="9" t="s">
        <v>444</v>
      </c>
      <c r="N42" s="9" t="s">
        <v>1998</v>
      </c>
      <c r="O42" s="12" t="s">
        <v>1999</v>
      </c>
    </row>
    <row r="43" customFormat="false" ht="28.35" hidden="false" customHeight="false" outlineLevel="0" collapsed="false">
      <c r="A43" s="6" t="s">
        <v>57</v>
      </c>
      <c r="B43" s="9" t="s">
        <v>58</v>
      </c>
      <c r="C43" s="9" t="s">
        <v>52</v>
      </c>
      <c r="D43" s="6" t="s">
        <v>60</v>
      </c>
      <c r="E43" s="6" t="s">
        <v>2000</v>
      </c>
      <c r="F43" s="11" t="s">
        <v>2001</v>
      </c>
      <c r="G43" s="10" t="n">
        <v>253</v>
      </c>
      <c r="H43" s="9" t="s">
        <v>2002</v>
      </c>
      <c r="I43" s="6" t="s">
        <v>1782</v>
      </c>
      <c r="J43" s="6"/>
      <c r="K43" s="6" t="s">
        <v>1805</v>
      </c>
      <c r="L43" s="6" t="s">
        <v>1806</v>
      </c>
      <c r="M43" s="9" t="s">
        <v>444</v>
      </c>
      <c r="N43" s="9" t="s">
        <v>2003</v>
      </c>
      <c r="O43" s="12" t="s">
        <v>2004</v>
      </c>
    </row>
    <row r="44" customFormat="false" ht="28.35" hidden="false" customHeight="false" outlineLevel="0" collapsed="false">
      <c r="A44" s="6" t="s">
        <v>121</v>
      </c>
      <c r="B44" s="9" t="s">
        <v>122</v>
      </c>
      <c r="C44" s="9" t="s">
        <v>52</v>
      </c>
      <c r="D44" s="6" t="s">
        <v>120</v>
      </c>
      <c r="E44" s="6" t="s">
        <v>2005</v>
      </c>
      <c r="F44" s="11" t="s">
        <v>2006</v>
      </c>
      <c r="G44" s="10" t="n">
        <v>156</v>
      </c>
      <c r="H44" s="9" t="s">
        <v>1583</v>
      </c>
      <c r="I44" s="6" t="s">
        <v>1782</v>
      </c>
      <c r="J44" s="6"/>
      <c r="K44" s="6" t="s">
        <v>1805</v>
      </c>
      <c r="L44" s="6" t="s">
        <v>1806</v>
      </c>
      <c r="M44" s="9" t="s">
        <v>444</v>
      </c>
      <c r="N44" s="9" t="s">
        <v>2007</v>
      </c>
      <c r="O44" s="12" t="s">
        <v>2008</v>
      </c>
    </row>
    <row r="45" customFormat="false" ht="41" hidden="false" customHeight="false" outlineLevel="0" collapsed="false">
      <c r="A45" s="6" t="s">
        <v>85</v>
      </c>
      <c r="B45" s="9" t="s">
        <v>86</v>
      </c>
      <c r="C45" s="9" t="s">
        <v>64</v>
      </c>
      <c r="D45" s="6" t="s">
        <v>88</v>
      </c>
      <c r="E45" s="6" t="s">
        <v>2009</v>
      </c>
      <c r="F45" s="11" t="s">
        <v>2010</v>
      </c>
      <c r="G45" s="10" t="n">
        <v>148</v>
      </c>
      <c r="H45" s="9" t="s">
        <v>1590</v>
      </c>
      <c r="I45" s="6" t="s">
        <v>1782</v>
      </c>
      <c r="J45" s="9" t="s">
        <v>2011</v>
      </c>
      <c r="K45" s="6"/>
      <c r="L45" s="6" t="s">
        <v>2012</v>
      </c>
      <c r="M45" s="9" t="s">
        <v>444</v>
      </c>
      <c r="N45" s="9" t="s">
        <v>2013</v>
      </c>
      <c r="O45" s="12" t="s">
        <v>2014</v>
      </c>
    </row>
    <row r="46" customFormat="false" ht="28.35" hidden="false" customHeight="false" outlineLevel="0" collapsed="false">
      <c r="A46" s="6" t="s">
        <v>308</v>
      </c>
      <c r="B46" s="9" t="s">
        <v>309</v>
      </c>
      <c r="C46" s="9" t="s">
        <v>52</v>
      </c>
      <c r="D46" s="6" t="s">
        <v>109</v>
      </c>
      <c r="E46" s="6" t="s">
        <v>2015</v>
      </c>
      <c r="F46" s="11" t="s">
        <v>2016</v>
      </c>
      <c r="G46" s="10" t="n">
        <v>87</v>
      </c>
      <c r="H46" s="9" t="s">
        <v>2017</v>
      </c>
      <c r="I46" s="6" t="s">
        <v>1782</v>
      </c>
      <c r="J46" s="6"/>
      <c r="K46" s="6" t="s">
        <v>1805</v>
      </c>
      <c r="L46" s="6" t="s">
        <v>1806</v>
      </c>
      <c r="M46" s="9" t="s">
        <v>444</v>
      </c>
      <c r="N46" s="9" t="s">
        <v>2018</v>
      </c>
      <c r="O46" s="12" t="s">
        <v>2019</v>
      </c>
    </row>
    <row r="47" customFormat="false" ht="28.35" hidden="false" customHeight="false" outlineLevel="0" collapsed="false">
      <c r="A47" s="6" t="s">
        <v>345</v>
      </c>
      <c r="B47" s="9" t="s">
        <v>346</v>
      </c>
      <c r="C47" s="9" t="s">
        <v>52</v>
      </c>
      <c r="D47" s="6" t="s">
        <v>93</v>
      </c>
      <c r="E47" s="6" t="s">
        <v>2020</v>
      </c>
      <c r="F47" s="11" t="s">
        <v>2021</v>
      </c>
      <c r="G47" s="10" t="n">
        <v>70</v>
      </c>
      <c r="H47" s="9" t="s">
        <v>844</v>
      </c>
      <c r="I47" s="6" t="s">
        <v>1782</v>
      </c>
      <c r="J47" s="6"/>
      <c r="K47" s="6" t="s">
        <v>1805</v>
      </c>
      <c r="L47" s="6" t="s">
        <v>1806</v>
      </c>
      <c r="M47" s="9" t="s">
        <v>444</v>
      </c>
      <c r="N47" s="9" t="s">
        <v>2022</v>
      </c>
      <c r="O47" s="12" t="s">
        <v>2023</v>
      </c>
    </row>
    <row r="48" customFormat="false" ht="28.35" hidden="false" customHeight="false" outlineLevel="0" collapsed="false">
      <c r="A48" s="6" t="s">
        <v>359</v>
      </c>
      <c r="B48" s="9" t="s">
        <v>360</v>
      </c>
      <c r="C48" s="9" t="s">
        <v>64</v>
      </c>
      <c r="D48" s="6" t="s">
        <v>65</v>
      </c>
      <c r="E48" s="6" t="s">
        <v>2024</v>
      </c>
      <c r="F48" s="11" t="s">
        <v>2025</v>
      </c>
      <c r="G48" s="10" t="n">
        <v>60</v>
      </c>
      <c r="H48" s="9" t="s">
        <v>2026</v>
      </c>
      <c r="I48" s="6" t="s">
        <v>1782</v>
      </c>
      <c r="J48" s="9" t="s">
        <v>2027</v>
      </c>
      <c r="K48" s="6"/>
      <c r="L48" s="6" t="s">
        <v>2028</v>
      </c>
      <c r="M48" s="9" t="s">
        <v>444</v>
      </c>
      <c r="N48" s="9" t="s">
        <v>2029</v>
      </c>
      <c r="O48" s="12" t="s">
        <v>2030</v>
      </c>
    </row>
    <row r="49" customFormat="false" ht="28.35" hidden="false" customHeight="false" outlineLevel="0" collapsed="false">
      <c r="A49" s="9" t="s">
        <v>399</v>
      </c>
      <c r="B49" s="9" t="s">
        <v>400</v>
      </c>
      <c r="C49" s="9" t="s">
        <v>52</v>
      </c>
      <c r="D49" s="6" t="s">
        <v>149</v>
      </c>
      <c r="E49" s="6" t="s">
        <v>2031</v>
      </c>
      <c r="F49" s="11" t="s">
        <v>2032</v>
      </c>
      <c r="G49" s="10" t="n">
        <v>48.7</v>
      </c>
      <c r="H49" s="9" t="s">
        <v>2033</v>
      </c>
      <c r="I49" s="6" t="s">
        <v>1782</v>
      </c>
      <c r="J49" s="6"/>
      <c r="K49" s="6" t="s">
        <v>1805</v>
      </c>
      <c r="L49" s="6" t="s">
        <v>1806</v>
      </c>
      <c r="M49" s="9" t="s">
        <v>444</v>
      </c>
      <c r="N49" s="9" t="s">
        <v>2034</v>
      </c>
      <c r="O49" s="12" t="s">
        <v>2035</v>
      </c>
    </row>
    <row r="50" customFormat="false" ht="28.35" hidden="false" customHeight="false" outlineLevel="0" collapsed="false">
      <c r="A50" s="9" t="s">
        <v>156</v>
      </c>
      <c r="B50" s="9" t="s">
        <v>157</v>
      </c>
      <c r="C50" s="9" t="s">
        <v>64</v>
      </c>
      <c r="D50" s="6" t="s">
        <v>109</v>
      </c>
      <c r="E50" s="6" t="s">
        <v>2036</v>
      </c>
      <c r="F50" s="11" t="s">
        <v>2037</v>
      </c>
      <c r="G50" s="10" t="n">
        <v>48</v>
      </c>
      <c r="H50" s="9" t="s">
        <v>2038</v>
      </c>
      <c r="I50" s="6" t="s">
        <v>1782</v>
      </c>
      <c r="J50" s="9" t="s">
        <v>2039</v>
      </c>
      <c r="K50" s="6"/>
      <c r="L50" s="6" t="s">
        <v>2040</v>
      </c>
      <c r="M50" s="9" t="s">
        <v>444</v>
      </c>
      <c r="N50" s="9" t="s">
        <v>2041</v>
      </c>
      <c r="O50" s="12" t="s">
        <v>2042</v>
      </c>
    </row>
    <row r="51" customFormat="false" ht="28.35" hidden="false" customHeight="false" outlineLevel="0" collapsed="false">
      <c r="A51" s="6" t="s">
        <v>160</v>
      </c>
      <c r="B51" s="9" t="s">
        <v>161</v>
      </c>
      <c r="C51" s="9" t="s">
        <v>64</v>
      </c>
      <c r="D51" s="6" t="s">
        <v>163</v>
      </c>
      <c r="E51" s="6" t="s">
        <v>1976</v>
      </c>
      <c r="F51" s="11" t="s">
        <v>2043</v>
      </c>
      <c r="G51" s="10" t="n">
        <v>33.3</v>
      </c>
      <c r="H51" s="6" t="s">
        <v>2044</v>
      </c>
      <c r="I51" s="6" t="s">
        <v>1790</v>
      </c>
      <c r="J51" s="6"/>
      <c r="K51" s="6" t="s">
        <v>1805</v>
      </c>
      <c r="L51" s="6" t="s">
        <v>1806</v>
      </c>
      <c r="M51" s="9" t="s">
        <v>444</v>
      </c>
      <c r="N51" s="9" t="s">
        <v>2045</v>
      </c>
      <c r="O51" s="12" t="s">
        <v>2046</v>
      </c>
    </row>
    <row r="52" customFormat="false" ht="28.35" hidden="false" customHeight="false" outlineLevel="0" collapsed="false">
      <c r="A52" s="6" t="s">
        <v>420</v>
      </c>
      <c r="B52" s="9" t="s">
        <v>421</v>
      </c>
      <c r="C52" s="9" t="s">
        <v>64</v>
      </c>
      <c r="D52" s="6" t="s">
        <v>99</v>
      </c>
      <c r="E52" s="6" t="s">
        <v>2047</v>
      </c>
      <c r="F52" s="11" t="s">
        <v>2048</v>
      </c>
      <c r="G52" s="10" t="n">
        <v>23</v>
      </c>
      <c r="H52" s="9" t="s">
        <v>2049</v>
      </c>
      <c r="I52" s="6" t="s">
        <v>1782</v>
      </c>
      <c r="J52" s="6"/>
      <c r="K52" s="6" t="s">
        <v>1805</v>
      </c>
      <c r="L52" s="6" t="s">
        <v>1806</v>
      </c>
      <c r="M52" s="9" t="s">
        <v>444</v>
      </c>
      <c r="N52" s="9" t="s">
        <v>2050</v>
      </c>
      <c r="O52" s="12" t="s">
        <v>2051</v>
      </c>
    </row>
    <row r="53" customFormat="false" ht="28.35" hidden="false" customHeight="false" outlineLevel="0" collapsed="false">
      <c r="A53" s="6" t="s">
        <v>331</v>
      </c>
      <c r="B53" s="9" t="s">
        <v>332</v>
      </c>
      <c r="C53" s="9" t="s">
        <v>52</v>
      </c>
      <c r="D53" s="6" t="s">
        <v>334</v>
      </c>
      <c r="E53" s="6" t="s">
        <v>2052</v>
      </c>
      <c r="F53" s="11" t="s">
        <v>2053</v>
      </c>
      <c r="G53" s="10" t="n">
        <v>20.2</v>
      </c>
      <c r="H53" s="9" t="s">
        <v>1289</v>
      </c>
      <c r="I53" s="6" t="s">
        <v>1782</v>
      </c>
      <c r="J53" s="6"/>
      <c r="K53" s="6" t="s">
        <v>1805</v>
      </c>
      <c r="L53" s="6" t="s">
        <v>1806</v>
      </c>
      <c r="M53" s="9" t="s">
        <v>444</v>
      </c>
      <c r="N53" s="9" t="s">
        <v>2054</v>
      </c>
      <c r="O53" s="12" t="s">
        <v>2055</v>
      </c>
    </row>
    <row r="54" customFormat="false" ht="28.35" hidden="false" customHeight="false" outlineLevel="0" collapsed="false">
      <c r="A54" s="6" t="s">
        <v>96</v>
      </c>
      <c r="B54" s="9" t="s">
        <v>97</v>
      </c>
      <c r="C54" s="9" t="s">
        <v>52</v>
      </c>
      <c r="D54" s="6" t="s">
        <v>99</v>
      </c>
      <c r="E54" s="6" t="s">
        <v>2056</v>
      </c>
      <c r="F54" s="11" t="s">
        <v>2057</v>
      </c>
      <c r="G54" s="10" t="n">
        <v>13.6</v>
      </c>
      <c r="H54" s="6" t="s">
        <v>2058</v>
      </c>
      <c r="I54" s="6" t="s">
        <v>1790</v>
      </c>
      <c r="J54" s="6"/>
      <c r="K54" s="6" t="s">
        <v>1805</v>
      </c>
      <c r="L54" s="6" t="s">
        <v>1806</v>
      </c>
      <c r="M54" s="9" t="s">
        <v>444</v>
      </c>
      <c r="N54" s="9" t="s">
        <v>2059</v>
      </c>
      <c r="O54" s="12" t="s">
        <v>2060</v>
      </c>
    </row>
    <row r="55" customFormat="false" ht="28.35" hidden="false" customHeight="false" outlineLevel="0" collapsed="false">
      <c r="A55" s="6" t="s">
        <v>335</v>
      </c>
      <c r="B55" s="9" t="s">
        <v>336</v>
      </c>
      <c r="C55" s="9" t="s">
        <v>64</v>
      </c>
      <c r="D55" s="6" t="s">
        <v>88</v>
      </c>
      <c r="E55" s="6" t="s">
        <v>2061</v>
      </c>
      <c r="F55" s="11" t="s">
        <v>2062</v>
      </c>
      <c r="G55" s="10" t="n">
        <v>13</v>
      </c>
      <c r="H55" s="9" t="s">
        <v>2063</v>
      </c>
      <c r="I55" s="6" t="s">
        <v>1782</v>
      </c>
      <c r="J55" s="6"/>
      <c r="K55" s="6" t="s">
        <v>1805</v>
      </c>
      <c r="L55" s="6" t="s">
        <v>1806</v>
      </c>
      <c r="M55" s="9" t="s">
        <v>444</v>
      </c>
      <c r="N55" s="9" t="s">
        <v>2064</v>
      </c>
      <c r="O55" s="12" t="s">
        <v>2065</v>
      </c>
    </row>
    <row r="56" customFormat="false" ht="28.35" hidden="false" customHeight="false" outlineLevel="0" collapsed="false">
      <c r="A56" s="6" t="s">
        <v>269</v>
      </c>
      <c r="B56" s="9" t="s">
        <v>270</v>
      </c>
      <c r="C56" s="9" t="s">
        <v>64</v>
      </c>
      <c r="D56" s="6" t="s">
        <v>272</v>
      </c>
      <c r="E56" s="6" t="s">
        <v>2066</v>
      </c>
      <c r="F56" s="11" t="s">
        <v>2067</v>
      </c>
      <c r="G56" s="10" t="n">
        <v>9.5</v>
      </c>
      <c r="H56" s="9" t="s">
        <v>910</v>
      </c>
      <c r="I56" s="6" t="s">
        <v>1782</v>
      </c>
      <c r="J56" s="6"/>
      <c r="K56" s="6" t="s">
        <v>1805</v>
      </c>
      <c r="L56" s="6" t="s">
        <v>1806</v>
      </c>
      <c r="M56" s="9" t="s">
        <v>444</v>
      </c>
      <c r="N56" s="9" t="s">
        <v>2068</v>
      </c>
      <c r="O56" s="12" t="s">
        <v>2069</v>
      </c>
    </row>
    <row r="57" customFormat="false" ht="28.35" hidden="false" customHeight="false" outlineLevel="0" collapsed="false">
      <c r="A57" s="6" t="s">
        <v>117</v>
      </c>
      <c r="B57" s="9" t="s">
        <v>118</v>
      </c>
      <c r="C57" s="9" t="s">
        <v>52</v>
      </c>
      <c r="D57" s="6" t="s">
        <v>120</v>
      </c>
      <c r="E57" s="6" t="s">
        <v>2070</v>
      </c>
      <c r="F57" s="11" t="s">
        <v>2071</v>
      </c>
      <c r="G57" s="10" t="n">
        <v>1</v>
      </c>
      <c r="H57" s="9" t="s">
        <v>1303</v>
      </c>
      <c r="I57" s="6" t="s">
        <v>1782</v>
      </c>
      <c r="J57" s="9" t="s">
        <v>2072</v>
      </c>
      <c r="K57" s="6"/>
      <c r="L57" s="6" t="s">
        <v>2073</v>
      </c>
      <c r="M57" s="9" t="s">
        <v>444</v>
      </c>
      <c r="N57" s="9" t="s">
        <v>2074</v>
      </c>
      <c r="O57" s="12" t="s">
        <v>2075</v>
      </c>
    </row>
    <row r="58" customFormat="false" ht="28.35" hidden="false" customHeight="false" outlineLevel="0" collapsed="false">
      <c r="A58" s="6" t="s">
        <v>129</v>
      </c>
      <c r="B58" s="9" t="s">
        <v>130</v>
      </c>
      <c r="C58" s="9" t="s">
        <v>64</v>
      </c>
      <c r="D58" s="6" t="s">
        <v>132</v>
      </c>
      <c r="E58" s="6" t="s">
        <v>2076</v>
      </c>
      <c r="F58" s="11" t="s">
        <v>2077</v>
      </c>
      <c r="G58" s="10" t="n">
        <v>0.4</v>
      </c>
      <c r="H58" s="9" t="s">
        <v>1773</v>
      </c>
      <c r="I58" s="6" t="s">
        <v>1782</v>
      </c>
      <c r="J58" s="6"/>
      <c r="K58" s="6" t="s">
        <v>1805</v>
      </c>
      <c r="L58" s="6" t="s">
        <v>1806</v>
      </c>
      <c r="M58" s="9" t="s">
        <v>444</v>
      </c>
      <c r="N58" s="9" t="s">
        <v>2078</v>
      </c>
      <c r="O58" s="12" t="s">
        <v>2079</v>
      </c>
    </row>
    <row r="59" customFormat="false" ht="23.85" hidden="false" customHeight="false" outlineLevel="0" collapsed="false">
      <c r="A59" s="6" t="s">
        <v>417</v>
      </c>
      <c r="B59" s="9" t="s">
        <v>418</v>
      </c>
      <c r="C59" s="9" t="s">
        <v>64</v>
      </c>
      <c r="D59" s="6" t="s">
        <v>145</v>
      </c>
      <c r="E59" s="6" t="s">
        <v>2080</v>
      </c>
      <c r="F59" s="6" t="s">
        <v>2081</v>
      </c>
      <c r="G59" s="10"/>
      <c r="H59" s="6" t="s">
        <v>2082</v>
      </c>
      <c r="I59" s="6" t="s">
        <v>2083</v>
      </c>
      <c r="J59" s="6"/>
      <c r="K59" s="6" t="s">
        <v>1805</v>
      </c>
      <c r="L59" s="6" t="s">
        <v>1806</v>
      </c>
      <c r="M59" s="9" t="s">
        <v>444</v>
      </c>
      <c r="N59" s="9" t="s">
        <v>2084</v>
      </c>
      <c r="O59" s="12" t="s">
        <v>2085</v>
      </c>
    </row>
  </sheetData>
  <autoFilter ref="A4:O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8.35"/>
    <col collapsed="false" customWidth="true" hidden="false" outlineLevel="0" max="3" min="3" style="0" width="7.51"/>
    <col collapsed="false" customWidth="true" hidden="false" outlineLevel="0" max="4" min="4" style="0" width="18.36"/>
    <col collapsed="false" customWidth="true" hidden="false" outlineLevel="0" max="5" min="5" style="0" width="33.38"/>
    <col collapsed="false" customWidth="true" hidden="false" outlineLevel="0" max="6" min="6" style="0" width="43.4"/>
    <col collapsed="false" customWidth="true" hidden="false" outlineLevel="0" max="7" min="7" style="0" width="12.52"/>
    <col collapsed="false" customWidth="true" hidden="false" outlineLevel="0" max="9" min="8" style="0" width="11.68"/>
    <col collapsed="false" customWidth="true" hidden="false" outlineLevel="0" max="10" min="10" style="0" width="10.02"/>
    <col collapsed="false" customWidth="true" hidden="false" outlineLevel="0" max="11" min="11" style="0" width="15.02"/>
    <col collapsed="false" customWidth="true" hidden="false" outlineLevel="0" max="12" min="12" style="0" width="35.05"/>
    <col collapsed="false" customWidth="true" hidden="false" outlineLevel="0" max="13" min="13" style="0" width="10.02"/>
    <col collapsed="false" customWidth="true" hidden="false" outlineLevel="0" max="14" min="14" style="0" width="13.35"/>
    <col collapsed="false" customWidth="true" hidden="false" outlineLevel="0" max="15" min="15" style="0" width="38.39"/>
  </cols>
  <sheetData>
    <row r="1" customFormat="false" ht="17.35" hidden="false" customHeight="false" outlineLevel="0" collapsed="false">
      <c r="A1" s="1" t="s">
        <v>2086</v>
      </c>
    </row>
    <row r="2" customFormat="false" ht="15" hidden="false" customHeight="false" outlineLevel="0" collapsed="false">
      <c r="A2" s="2" t="s">
        <v>2087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41</v>
      </c>
      <c r="D4" s="5" t="s">
        <v>42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  <c r="J4" s="5" t="s">
        <v>434</v>
      </c>
      <c r="K4" s="5" t="s">
        <v>435</v>
      </c>
      <c r="L4" s="5" t="s">
        <v>436</v>
      </c>
      <c r="M4" s="5" t="s">
        <v>2</v>
      </c>
      <c r="N4" s="5" t="s">
        <v>437</v>
      </c>
      <c r="O4" s="5" t="s">
        <v>438</v>
      </c>
    </row>
    <row r="5" customFormat="false" ht="15" hidden="false" customHeight="false" outlineLevel="0" collapsed="false">
      <c r="A5" s="2" t="s">
        <v>2088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8.35"/>
    <col collapsed="false" customWidth="true" hidden="false" outlineLevel="0" max="3" min="3" style="0" width="7.51"/>
    <col collapsed="false" customWidth="true" hidden="false" outlineLevel="0" max="4" min="4" style="0" width="18.36"/>
    <col collapsed="false" customWidth="true" hidden="false" outlineLevel="0" max="5" min="5" style="0" width="33.38"/>
    <col collapsed="false" customWidth="true" hidden="false" outlineLevel="0" max="6" min="6" style="0" width="43.4"/>
    <col collapsed="false" customWidth="true" hidden="false" outlineLevel="0" max="7" min="7" style="0" width="12.52"/>
    <col collapsed="false" customWidth="true" hidden="false" outlineLevel="0" max="9" min="8" style="0" width="11.68"/>
    <col collapsed="false" customWidth="true" hidden="false" outlineLevel="0" max="10" min="10" style="0" width="10.02"/>
    <col collapsed="false" customWidth="true" hidden="false" outlineLevel="0" max="11" min="11" style="0" width="15.02"/>
    <col collapsed="false" customWidth="true" hidden="false" outlineLevel="0" max="12" min="12" style="0" width="35.05"/>
    <col collapsed="false" customWidth="true" hidden="false" outlineLevel="0" max="13" min="13" style="0" width="10.02"/>
    <col collapsed="false" customWidth="true" hidden="false" outlineLevel="0" max="14" min="14" style="0" width="13.35"/>
    <col collapsed="false" customWidth="true" hidden="false" outlineLevel="0" max="15" min="15" style="0" width="38.39"/>
  </cols>
  <sheetData>
    <row r="1" customFormat="false" ht="17.35" hidden="false" customHeight="false" outlineLevel="0" collapsed="false">
      <c r="A1" s="1" t="s">
        <v>2089</v>
      </c>
    </row>
    <row r="2" customFormat="false" ht="15" hidden="false" customHeight="false" outlineLevel="0" collapsed="false">
      <c r="A2" s="2" t="s">
        <v>2090</v>
      </c>
    </row>
    <row r="4" customFormat="false" ht="30" hidden="false" customHeight="true" outlineLevel="0" collapsed="false">
      <c r="A4" s="5" t="s">
        <v>38</v>
      </c>
      <c r="B4" s="5" t="s">
        <v>39</v>
      </c>
      <c r="C4" s="5" t="s">
        <v>41</v>
      </c>
      <c r="D4" s="5" t="s">
        <v>42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  <c r="J4" s="5" t="s">
        <v>434</v>
      </c>
      <c r="K4" s="5" t="s">
        <v>435</v>
      </c>
      <c r="L4" s="5" t="s">
        <v>436</v>
      </c>
      <c r="M4" s="5" t="s">
        <v>2</v>
      </c>
      <c r="N4" s="5" t="s">
        <v>437</v>
      </c>
      <c r="O4" s="5" t="s">
        <v>438</v>
      </c>
    </row>
    <row r="5" customFormat="false" ht="27.6" hidden="false" customHeight="false" outlineLevel="0" collapsed="false">
      <c r="A5" s="6" t="s">
        <v>61</v>
      </c>
      <c r="B5" s="9" t="s">
        <v>62</v>
      </c>
      <c r="C5" s="9" t="s">
        <v>64</v>
      </c>
      <c r="D5" s="6" t="s">
        <v>65</v>
      </c>
      <c r="E5" s="6" t="s">
        <v>2091</v>
      </c>
      <c r="F5" s="11" t="s">
        <v>2092</v>
      </c>
      <c r="G5" s="10" t="n">
        <v>9200</v>
      </c>
      <c r="H5" s="9" t="s">
        <v>2093</v>
      </c>
      <c r="I5" s="6"/>
      <c r="J5" s="9" t="s">
        <v>2094</v>
      </c>
      <c r="K5" s="6"/>
      <c r="L5" s="6" t="s">
        <v>2095</v>
      </c>
      <c r="M5" s="9" t="s">
        <v>444</v>
      </c>
      <c r="N5" s="9" t="s">
        <v>588</v>
      </c>
      <c r="O5" s="12" t="s">
        <v>589</v>
      </c>
    </row>
    <row r="6" customFormat="false" ht="27.6" hidden="false" customHeight="false" outlineLevel="0" collapsed="false">
      <c r="A6" s="6" t="s">
        <v>67</v>
      </c>
      <c r="B6" s="9" t="s">
        <v>68</v>
      </c>
      <c r="C6" s="9" t="s">
        <v>64</v>
      </c>
      <c r="D6" s="6" t="s">
        <v>70</v>
      </c>
      <c r="E6" s="6" t="s">
        <v>2096</v>
      </c>
      <c r="F6" s="11" t="s">
        <v>2097</v>
      </c>
      <c r="G6" s="10" t="n">
        <v>2386.1</v>
      </c>
      <c r="H6" s="9" t="s">
        <v>2098</v>
      </c>
      <c r="I6" s="6"/>
      <c r="J6" s="9" t="s">
        <v>2099</v>
      </c>
      <c r="K6" s="6"/>
      <c r="L6" s="6" t="s">
        <v>2100</v>
      </c>
      <c r="M6" s="9" t="s">
        <v>444</v>
      </c>
      <c r="N6" s="9" t="s">
        <v>672</v>
      </c>
      <c r="O6" s="12" t="s">
        <v>673</v>
      </c>
    </row>
    <row r="7" customFormat="false" ht="27.6" hidden="false" customHeight="false" outlineLevel="0" collapsed="false">
      <c r="A7" s="6" t="s">
        <v>387</v>
      </c>
      <c r="B7" s="9" t="s">
        <v>388</v>
      </c>
      <c r="C7" s="9" t="s">
        <v>64</v>
      </c>
      <c r="D7" s="6" t="s">
        <v>88</v>
      </c>
      <c r="E7" s="6" t="s">
        <v>2101</v>
      </c>
      <c r="F7" s="11" t="s">
        <v>2102</v>
      </c>
      <c r="G7" s="10" t="n">
        <v>1893</v>
      </c>
      <c r="H7" s="9" t="s">
        <v>2103</v>
      </c>
      <c r="I7" s="6"/>
      <c r="J7" s="9" t="s">
        <v>2104</v>
      </c>
      <c r="K7" s="6"/>
      <c r="L7" s="6" t="s">
        <v>2105</v>
      </c>
      <c r="M7" s="9" t="s">
        <v>444</v>
      </c>
      <c r="N7" s="9" t="s">
        <v>918</v>
      </c>
      <c r="O7" s="12" t="s">
        <v>919</v>
      </c>
    </row>
    <row r="8" customFormat="false" ht="41" hidden="false" customHeight="false" outlineLevel="0" collapsed="false">
      <c r="A8" s="9" t="s">
        <v>81</v>
      </c>
      <c r="B8" s="9" t="s">
        <v>82</v>
      </c>
      <c r="C8" s="9" t="s">
        <v>52</v>
      </c>
      <c r="D8" s="9" t="s">
        <v>84</v>
      </c>
      <c r="E8" s="6" t="s">
        <v>2106</v>
      </c>
      <c r="F8" s="12" t="s">
        <v>2107</v>
      </c>
      <c r="G8" s="10" t="n">
        <v>1865.3</v>
      </c>
      <c r="H8" s="9" t="s">
        <v>2108</v>
      </c>
      <c r="I8" s="6"/>
      <c r="J8" s="9" t="s">
        <v>2109</v>
      </c>
      <c r="K8" s="6"/>
      <c r="L8" s="6" t="s">
        <v>2110</v>
      </c>
      <c r="M8" s="9" t="s">
        <v>444</v>
      </c>
      <c r="N8" s="9" t="s">
        <v>870</v>
      </c>
      <c r="O8" s="12" t="s">
        <v>871</v>
      </c>
    </row>
    <row r="9" customFormat="false" ht="27.6" hidden="false" customHeight="false" outlineLevel="0" collapsed="false">
      <c r="A9" s="6" t="s">
        <v>420</v>
      </c>
      <c r="B9" s="9" t="s">
        <v>421</v>
      </c>
      <c r="C9" s="9" t="s">
        <v>64</v>
      </c>
      <c r="D9" s="6" t="s">
        <v>99</v>
      </c>
      <c r="E9" s="6" t="s">
        <v>2111</v>
      </c>
      <c r="F9" s="11" t="s">
        <v>2112</v>
      </c>
      <c r="G9" s="10" t="n">
        <v>1710.8</v>
      </c>
      <c r="H9" s="9" t="s">
        <v>2113</v>
      </c>
      <c r="I9" s="6"/>
      <c r="J9" s="9" t="s">
        <v>2114</v>
      </c>
      <c r="K9" s="6"/>
      <c r="L9" s="6" t="s">
        <v>2115</v>
      </c>
      <c r="M9" s="9" t="s">
        <v>444</v>
      </c>
      <c r="N9" s="9" t="s">
        <v>2116</v>
      </c>
      <c r="O9" s="12" t="s">
        <v>2117</v>
      </c>
    </row>
    <row r="10" customFormat="false" ht="27.6" hidden="false" customHeight="false" outlineLevel="0" collapsed="false">
      <c r="A10" s="6" t="s">
        <v>72</v>
      </c>
      <c r="B10" s="9" t="s">
        <v>73</v>
      </c>
      <c r="C10" s="9" t="s">
        <v>64</v>
      </c>
      <c r="D10" s="6" t="s">
        <v>75</v>
      </c>
      <c r="E10" s="6" t="s">
        <v>2118</v>
      </c>
      <c r="F10" s="11" t="s">
        <v>2119</v>
      </c>
      <c r="G10" s="10" t="n">
        <v>1687.4</v>
      </c>
      <c r="H10" s="9" t="s">
        <v>2120</v>
      </c>
      <c r="I10" s="6"/>
      <c r="J10" s="9" t="s">
        <v>2121</v>
      </c>
      <c r="K10" s="6"/>
      <c r="L10" s="6" t="s">
        <v>2122</v>
      </c>
      <c r="M10" s="9" t="s">
        <v>444</v>
      </c>
      <c r="N10" s="9" t="s">
        <v>864</v>
      </c>
      <c r="O10" s="12" t="s">
        <v>865</v>
      </c>
    </row>
    <row r="11" customFormat="false" ht="54.45" hidden="false" customHeight="false" outlineLevel="0" collapsed="false">
      <c r="A11" s="9" t="s">
        <v>90</v>
      </c>
      <c r="B11" s="9" t="s">
        <v>91</v>
      </c>
      <c r="C11" s="9" t="s">
        <v>64</v>
      </c>
      <c r="D11" s="6" t="s">
        <v>93</v>
      </c>
      <c r="E11" s="6" t="s">
        <v>2123</v>
      </c>
      <c r="F11" s="11" t="s">
        <v>2124</v>
      </c>
      <c r="G11" s="10" t="n">
        <v>899.2</v>
      </c>
      <c r="H11" s="9" t="s">
        <v>2125</v>
      </c>
      <c r="I11" s="6"/>
      <c r="J11" s="9" t="s">
        <v>2126</v>
      </c>
      <c r="K11" s="6"/>
      <c r="L11" s="6" t="s">
        <v>2127</v>
      </c>
      <c r="M11" s="9" t="s">
        <v>1547</v>
      </c>
      <c r="N11" s="9" t="s">
        <v>2128</v>
      </c>
      <c r="O11" s="12" t="s">
        <v>2129</v>
      </c>
    </row>
    <row r="12" customFormat="false" ht="28.35" hidden="false" customHeight="false" outlineLevel="0" collapsed="false">
      <c r="A12" s="6" t="s">
        <v>114</v>
      </c>
      <c r="B12" s="9" t="s">
        <v>115</v>
      </c>
      <c r="C12" s="9" t="s">
        <v>64</v>
      </c>
      <c r="D12" s="6" t="s">
        <v>88</v>
      </c>
      <c r="E12" s="6" t="s">
        <v>2130</v>
      </c>
      <c r="F12" s="11" t="s">
        <v>2131</v>
      </c>
      <c r="G12" s="10" t="n">
        <v>823.5</v>
      </c>
      <c r="H12" s="9" t="s">
        <v>2132</v>
      </c>
      <c r="I12" s="6"/>
      <c r="J12" s="9" t="s">
        <v>2133</v>
      </c>
      <c r="K12" s="6"/>
      <c r="L12" s="6" t="s">
        <v>2134</v>
      </c>
      <c r="M12" s="9" t="s">
        <v>444</v>
      </c>
      <c r="N12" s="9" t="s">
        <v>816</v>
      </c>
      <c r="O12" s="12" t="s">
        <v>817</v>
      </c>
    </row>
    <row r="13" customFormat="false" ht="41" hidden="false" customHeight="false" outlineLevel="0" collapsed="false">
      <c r="A13" s="6" t="s">
        <v>85</v>
      </c>
      <c r="B13" s="9" t="s">
        <v>86</v>
      </c>
      <c r="C13" s="9" t="s">
        <v>64</v>
      </c>
      <c r="D13" s="6" t="s">
        <v>88</v>
      </c>
      <c r="E13" s="6" t="s">
        <v>2135</v>
      </c>
      <c r="F13" s="12" t="s">
        <v>2136</v>
      </c>
      <c r="G13" s="10" t="n">
        <v>605.9</v>
      </c>
      <c r="H13" s="9" t="s">
        <v>2137</v>
      </c>
      <c r="I13" s="6"/>
      <c r="J13" s="9" t="s">
        <v>2138</v>
      </c>
      <c r="K13" s="6"/>
      <c r="L13" s="6" t="s">
        <v>2139</v>
      </c>
      <c r="M13" s="9" t="s">
        <v>444</v>
      </c>
      <c r="N13" s="9" t="s">
        <v>876</v>
      </c>
      <c r="O13" s="12" t="s">
        <v>877</v>
      </c>
    </row>
    <row r="14" customFormat="false" ht="54.45" hidden="false" customHeight="false" outlineLevel="0" collapsed="false">
      <c r="A14" s="6" t="s">
        <v>77</v>
      </c>
      <c r="B14" s="9" t="s">
        <v>78</v>
      </c>
      <c r="C14" s="9" t="s">
        <v>52</v>
      </c>
      <c r="D14" s="6" t="s">
        <v>80</v>
      </c>
      <c r="E14" s="6" t="s">
        <v>2140</v>
      </c>
      <c r="F14" s="11" t="s">
        <v>2141</v>
      </c>
      <c r="G14" s="10" t="n">
        <v>577.8</v>
      </c>
      <c r="H14" s="9" t="s">
        <v>2142</v>
      </c>
      <c r="I14" s="6"/>
      <c r="J14" s="9" t="s">
        <v>2143</v>
      </c>
      <c r="K14" s="6"/>
      <c r="L14" s="6" t="s">
        <v>2144</v>
      </c>
      <c r="M14" s="9" t="s">
        <v>444</v>
      </c>
      <c r="N14" s="9" t="s">
        <v>768</v>
      </c>
      <c r="O14" s="12" t="s">
        <v>769</v>
      </c>
    </row>
    <row r="15" customFormat="false" ht="28.35" hidden="false" customHeight="false" outlineLevel="0" collapsed="false">
      <c r="A15" s="6" t="s">
        <v>117</v>
      </c>
      <c r="B15" s="9" t="s">
        <v>118</v>
      </c>
      <c r="C15" s="9" t="s">
        <v>52</v>
      </c>
      <c r="D15" s="6" t="s">
        <v>120</v>
      </c>
      <c r="E15" s="6" t="s">
        <v>2145</v>
      </c>
      <c r="F15" s="12" t="s">
        <v>2146</v>
      </c>
      <c r="G15" s="10" t="n">
        <v>470.1</v>
      </c>
      <c r="H15" s="9" t="s">
        <v>2147</v>
      </c>
      <c r="I15" s="6"/>
      <c r="J15" s="9" t="s">
        <v>2148</v>
      </c>
      <c r="K15" s="6"/>
      <c r="L15" s="6" t="s">
        <v>2149</v>
      </c>
      <c r="M15" s="9" t="s">
        <v>444</v>
      </c>
      <c r="N15" s="9" t="s">
        <v>828</v>
      </c>
      <c r="O15" s="12" t="s">
        <v>829</v>
      </c>
    </row>
    <row r="16" customFormat="false" ht="27.6" hidden="false" customHeight="false" outlineLevel="0" collapsed="false">
      <c r="A16" s="6" t="s">
        <v>110</v>
      </c>
      <c r="B16" s="9" t="s">
        <v>111</v>
      </c>
      <c r="C16" s="9" t="s">
        <v>52</v>
      </c>
      <c r="D16" s="6" t="s">
        <v>113</v>
      </c>
      <c r="E16" s="6" t="s">
        <v>2150</v>
      </c>
      <c r="F16" s="11" t="s">
        <v>2151</v>
      </c>
      <c r="G16" s="10" t="n">
        <v>465.1</v>
      </c>
      <c r="H16" s="9" t="s">
        <v>2152</v>
      </c>
      <c r="I16" s="6"/>
      <c r="J16" s="9" t="s">
        <v>2153</v>
      </c>
      <c r="K16" s="6"/>
      <c r="L16" s="6" t="s">
        <v>2154</v>
      </c>
      <c r="M16" s="9" t="s">
        <v>444</v>
      </c>
      <c r="N16" s="9" t="s">
        <v>888</v>
      </c>
      <c r="O16" s="12" t="s">
        <v>889</v>
      </c>
    </row>
    <row r="17" customFormat="false" ht="27.6" hidden="false" customHeight="false" outlineLevel="0" collapsed="false">
      <c r="A17" s="9" t="s">
        <v>106</v>
      </c>
      <c r="B17" s="9" t="s">
        <v>107</v>
      </c>
      <c r="C17" s="9" t="s">
        <v>52</v>
      </c>
      <c r="D17" s="6" t="s">
        <v>109</v>
      </c>
      <c r="E17" s="6" t="s">
        <v>2155</v>
      </c>
      <c r="F17" s="11" t="s">
        <v>2156</v>
      </c>
      <c r="G17" s="10" t="n">
        <v>459.1</v>
      </c>
      <c r="H17" s="9" t="s">
        <v>2157</v>
      </c>
      <c r="I17" s="6"/>
      <c r="J17" s="9" t="s">
        <v>2158</v>
      </c>
      <c r="K17" s="6"/>
      <c r="L17" s="6" t="s">
        <v>2159</v>
      </c>
      <c r="M17" s="9" t="s">
        <v>444</v>
      </c>
      <c r="N17" s="9" t="s">
        <v>900</v>
      </c>
      <c r="O17" s="12" t="s">
        <v>901</v>
      </c>
    </row>
    <row r="18" customFormat="false" ht="41.75" hidden="false" customHeight="false" outlineLevel="0" collapsed="false">
      <c r="A18" s="6" t="s">
        <v>96</v>
      </c>
      <c r="B18" s="9" t="s">
        <v>97</v>
      </c>
      <c r="C18" s="9" t="s">
        <v>52</v>
      </c>
      <c r="D18" s="6" t="s">
        <v>99</v>
      </c>
      <c r="E18" s="6" t="s">
        <v>2160</v>
      </c>
      <c r="F18" s="11" t="s">
        <v>2161</v>
      </c>
      <c r="G18" s="10" t="n">
        <v>450.5</v>
      </c>
      <c r="H18" s="9" t="s">
        <v>2162</v>
      </c>
      <c r="I18" s="6"/>
      <c r="J18" s="9" t="s">
        <v>2163</v>
      </c>
      <c r="K18" s="6"/>
      <c r="L18" s="6" t="s">
        <v>2164</v>
      </c>
      <c r="M18" s="9" t="s">
        <v>444</v>
      </c>
      <c r="N18" s="9" t="s">
        <v>894</v>
      </c>
      <c r="O18" s="12" t="s">
        <v>895</v>
      </c>
    </row>
    <row r="19" customFormat="false" ht="28.35" hidden="false" customHeight="false" outlineLevel="0" collapsed="false">
      <c r="A19" s="6" t="s">
        <v>101</v>
      </c>
      <c r="B19" s="9" t="s">
        <v>102</v>
      </c>
      <c r="C19" s="9" t="s">
        <v>52</v>
      </c>
      <c r="D19" s="9" t="s">
        <v>84</v>
      </c>
      <c r="E19" s="6" t="s">
        <v>2165</v>
      </c>
      <c r="F19" s="11" t="s">
        <v>2166</v>
      </c>
      <c r="G19" s="10" t="n">
        <v>424.9</v>
      </c>
      <c r="H19" s="9" t="s">
        <v>2167</v>
      </c>
      <c r="I19" s="6"/>
      <c r="J19" s="9" t="s">
        <v>2168</v>
      </c>
      <c r="K19" s="6"/>
      <c r="L19" s="6" t="s">
        <v>2169</v>
      </c>
      <c r="M19" s="9" t="s">
        <v>1640</v>
      </c>
      <c r="N19" s="9" t="s">
        <v>2170</v>
      </c>
      <c r="O19" s="12" t="s">
        <v>2171</v>
      </c>
    </row>
    <row r="20" customFormat="false" ht="27.6" hidden="false" customHeight="false" outlineLevel="0" collapsed="false">
      <c r="A20" s="6" t="s">
        <v>121</v>
      </c>
      <c r="B20" s="9" t="s">
        <v>122</v>
      </c>
      <c r="C20" s="9" t="s">
        <v>52</v>
      </c>
      <c r="D20" s="6" t="s">
        <v>120</v>
      </c>
      <c r="E20" s="6" t="s">
        <v>2172</v>
      </c>
      <c r="F20" s="11" t="s">
        <v>2173</v>
      </c>
      <c r="G20" s="10" t="n">
        <v>358.5</v>
      </c>
      <c r="H20" s="9" t="s">
        <v>2174</v>
      </c>
      <c r="I20" s="6"/>
      <c r="J20" s="9" t="s">
        <v>2175</v>
      </c>
      <c r="K20" s="6"/>
      <c r="L20" s="6" t="s">
        <v>2176</v>
      </c>
      <c r="M20" s="9" t="s">
        <v>444</v>
      </c>
      <c r="N20" s="9" t="s">
        <v>822</v>
      </c>
      <c r="O20" s="12" t="s">
        <v>823</v>
      </c>
    </row>
    <row r="21" customFormat="false" ht="68.65" hidden="false" customHeight="false" outlineLevel="0" collapsed="false">
      <c r="A21" s="6" t="s">
        <v>125</v>
      </c>
      <c r="B21" s="9" t="s">
        <v>126</v>
      </c>
      <c r="C21" s="9" t="s">
        <v>52</v>
      </c>
      <c r="D21" s="6" t="s">
        <v>128</v>
      </c>
      <c r="E21" s="6" t="s">
        <v>2177</v>
      </c>
      <c r="F21" s="11" t="s">
        <v>2178</v>
      </c>
      <c r="G21" s="10" t="n">
        <v>262</v>
      </c>
      <c r="H21" s="9" t="s">
        <v>1139</v>
      </c>
      <c r="I21" s="6"/>
      <c r="J21" s="9" t="s">
        <v>2179</v>
      </c>
      <c r="K21" s="6"/>
      <c r="L21" s="6" t="s">
        <v>2180</v>
      </c>
      <c r="M21" s="9" t="s">
        <v>444</v>
      </c>
      <c r="N21" s="9" t="s">
        <v>906</v>
      </c>
      <c r="O21" s="12" t="s">
        <v>907</v>
      </c>
    </row>
    <row r="22" customFormat="false" ht="41.75" hidden="false" customHeight="false" outlineLevel="0" collapsed="false">
      <c r="A22" s="6" t="s">
        <v>129</v>
      </c>
      <c r="B22" s="9" t="s">
        <v>130</v>
      </c>
      <c r="C22" s="9" t="s">
        <v>64</v>
      </c>
      <c r="D22" s="6" t="s">
        <v>132</v>
      </c>
      <c r="E22" s="6" t="s">
        <v>2181</v>
      </c>
      <c r="F22" s="11" t="s">
        <v>2182</v>
      </c>
      <c r="G22" s="10" t="n">
        <v>213.8</v>
      </c>
      <c r="H22" s="9" t="s">
        <v>1170</v>
      </c>
      <c r="I22" s="6"/>
      <c r="J22" s="9" t="s">
        <v>2183</v>
      </c>
      <c r="K22" s="6"/>
      <c r="L22" s="6" t="s">
        <v>2184</v>
      </c>
      <c r="M22" s="9" t="s">
        <v>444</v>
      </c>
      <c r="N22" s="9" t="s">
        <v>852</v>
      </c>
      <c r="O22" s="12" t="s">
        <v>853</v>
      </c>
    </row>
    <row r="23" customFormat="false" ht="28.35" hidden="false" customHeight="false" outlineLevel="0" collapsed="false">
      <c r="A23" s="6" t="s">
        <v>142</v>
      </c>
      <c r="B23" s="9" t="s">
        <v>143</v>
      </c>
      <c r="C23" s="9" t="s">
        <v>52</v>
      </c>
      <c r="D23" s="6" t="s">
        <v>145</v>
      </c>
      <c r="E23" s="6" t="s">
        <v>2185</v>
      </c>
      <c r="F23" s="11" t="s">
        <v>2186</v>
      </c>
      <c r="G23" s="10" t="n">
        <v>174.9</v>
      </c>
      <c r="H23" s="9" t="s">
        <v>2187</v>
      </c>
      <c r="I23" s="6"/>
      <c r="J23" s="9" t="s">
        <v>2188</v>
      </c>
      <c r="K23" s="6"/>
      <c r="L23" s="6" t="s">
        <v>2189</v>
      </c>
      <c r="M23" s="9" t="s">
        <v>444</v>
      </c>
      <c r="N23" s="9" t="s">
        <v>756</v>
      </c>
      <c r="O23" s="12" t="s">
        <v>757</v>
      </c>
    </row>
    <row r="24" customFormat="false" ht="27.6" hidden="false" customHeight="false" outlineLevel="0" collapsed="false">
      <c r="A24" s="6" t="s">
        <v>146</v>
      </c>
      <c r="B24" s="9" t="s">
        <v>147</v>
      </c>
      <c r="C24" s="9" t="s">
        <v>64</v>
      </c>
      <c r="D24" s="6" t="s">
        <v>149</v>
      </c>
      <c r="E24" s="6" t="s">
        <v>2190</v>
      </c>
      <c r="F24" s="11" t="s">
        <v>2191</v>
      </c>
      <c r="G24" s="10" t="n">
        <v>104</v>
      </c>
      <c r="H24" s="9" t="s">
        <v>1215</v>
      </c>
      <c r="I24" s="6"/>
      <c r="J24" s="9" t="s">
        <v>2192</v>
      </c>
      <c r="K24" s="6"/>
      <c r="L24" s="6" t="s">
        <v>2193</v>
      </c>
      <c r="M24" s="9" t="s">
        <v>444</v>
      </c>
      <c r="N24" s="9" t="s">
        <v>2194</v>
      </c>
      <c r="O24" s="12" t="s">
        <v>2195</v>
      </c>
    </row>
    <row r="25" customFormat="false" ht="27.6" hidden="false" customHeight="false" outlineLevel="0" collapsed="false">
      <c r="A25" s="6" t="s">
        <v>160</v>
      </c>
      <c r="B25" s="9" t="s">
        <v>161</v>
      </c>
      <c r="C25" s="9" t="s">
        <v>64</v>
      </c>
      <c r="D25" s="6" t="s">
        <v>163</v>
      </c>
      <c r="E25" s="6" t="s">
        <v>2196</v>
      </c>
      <c r="F25" s="11" t="s">
        <v>2197</v>
      </c>
      <c r="G25" s="10" t="n">
        <v>99.7</v>
      </c>
      <c r="H25" s="9" t="s">
        <v>2198</v>
      </c>
      <c r="I25" s="6"/>
      <c r="J25" s="9" t="s">
        <v>2199</v>
      </c>
      <c r="K25" s="6"/>
      <c r="L25" s="6" t="s">
        <v>2200</v>
      </c>
      <c r="M25" s="9" t="s">
        <v>444</v>
      </c>
      <c r="N25" s="9" t="s">
        <v>834</v>
      </c>
      <c r="O25" s="12" t="s">
        <v>835</v>
      </c>
    </row>
    <row r="26" customFormat="false" ht="27.6" hidden="false" customHeight="false" outlineLevel="0" collapsed="false">
      <c r="A26" s="6" t="s">
        <v>153</v>
      </c>
      <c r="B26" s="9" t="s">
        <v>154</v>
      </c>
      <c r="C26" s="9" t="s">
        <v>52</v>
      </c>
      <c r="D26" s="6" t="s">
        <v>149</v>
      </c>
      <c r="E26" s="6" t="s">
        <v>2201</v>
      </c>
      <c r="F26" s="11" t="s">
        <v>2202</v>
      </c>
      <c r="G26" s="10" t="n">
        <v>86.4</v>
      </c>
      <c r="H26" s="9" t="s">
        <v>2203</v>
      </c>
      <c r="I26" s="6"/>
      <c r="J26" s="9" t="s">
        <v>2204</v>
      </c>
      <c r="K26" s="6"/>
      <c r="L26" s="6" t="s">
        <v>2205</v>
      </c>
      <c r="M26" s="9" t="s">
        <v>444</v>
      </c>
      <c r="N26" s="9" t="s">
        <v>744</v>
      </c>
      <c r="O26" s="12" t="s">
        <v>745</v>
      </c>
    </row>
    <row r="27" customFormat="false" ht="54.45" hidden="false" customHeight="false" outlineLevel="0" collapsed="false">
      <c r="A27" s="6" t="s">
        <v>138</v>
      </c>
      <c r="B27" s="9" t="s">
        <v>139</v>
      </c>
      <c r="C27" s="9" t="s">
        <v>52</v>
      </c>
      <c r="D27" s="6" t="s">
        <v>120</v>
      </c>
      <c r="E27" s="6" t="s">
        <v>2201</v>
      </c>
      <c r="F27" s="12" t="s">
        <v>2206</v>
      </c>
      <c r="G27" s="10" t="n">
        <v>85.8</v>
      </c>
      <c r="H27" s="9" t="s">
        <v>2203</v>
      </c>
      <c r="I27" s="6"/>
      <c r="J27" s="9" t="s">
        <v>2207</v>
      </c>
      <c r="K27" s="6"/>
      <c r="L27" s="6" t="s">
        <v>2205</v>
      </c>
      <c r="M27" s="9" t="s">
        <v>444</v>
      </c>
      <c r="N27" s="9" t="s">
        <v>708</v>
      </c>
      <c r="O27" s="12" t="s">
        <v>709</v>
      </c>
    </row>
    <row r="28" customFormat="false" ht="28.35" hidden="false" customHeight="false" outlineLevel="0" collapsed="false">
      <c r="A28" s="6" t="s">
        <v>164</v>
      </c>
      <c r="B28" s="9" t="s">
        <v>165</v>
      </c>
      <c r="C28" s="9" t="s">
        <v>64</v>
      </c>
      <c r="D28" s="6" t="s">
        <v>167</v>
      </c>
      <c r="E28" s="6" t="s">
        <v>2208</v>
      </c>
      <c r="F28" s="12" t="s">
        <v>2209</v>
      </c>
      <c r="G28" s="10" t="n">
        <v>80</v>
      </c>
      <c r="H28" s="9" t="s">
        <v>2210</v>
      </c>
      <c r="I28" s="6"/>
      <c r="J28" s="9" t="s">
        <v>2211</v>
      </c>
      <c r="K28" s="6"/>
      <c r="L28" s="6" t="s">
        <v>2212</v>
      </c>
      <c r="M28" s="9" t="s">
        <v>444</v>
      </c>
      <c r="N28" s="9" t="s">
        <v>2213</v>
      </c>
      <c r="O28" s="12" t="s">
        <v>2214</v>
      </c>
    </row>
    <row r="29" customFormat="false" ht="28.35" hidden="false" customHeight="false" outlineLevel="0" collapsed="false">
      <c r="A29" s="9" t="s">
        <v>156</v>
      </c>
      <c r="B29" s="9" t="s">
        <v>157</v>
      </c>
      <c r="C29" s="9" t="s">
        <v>64</v>
      </c>
      <c r="D29" s="6" t="s">
        <v>109</v>
      </c>
      <c r="E29" s="6" t="s">
        <v>2215</v>
      </c>
      <c r="F29" s="12" t="s">
        <v>2216</v>
      </c>
      <c r="G29" s="10" t="n">
        <v>48</v>
      </c>
      <c r="H29" s="9" t="s">
        <v>2038</v>
      </c>
      <c r="I29" s="6"/>
      <c r="J29" s="9" t="s">
        <v>2217</v>
      </c>
      <c r="K29" s="6"/>
      <c r="L29" s="6" t="s">
        <v>2218</v>
      </c>
      <c r="M29" s="9" t="s">
        <v>444</v>
      </c>
      <c r="N29" s="9" t="s">
        <v>840</v>
      </c>
      <c r="O29" s="12" t="s">
        <v>841</v>
      </c>
    </row>
    <row r="30" customFormat="false" ht="27.6" hidden="false" customHeight="false" outlineLevel="0" collapsed="false">
      <c r="A30" s="6" t="s">
        <v>150</v>
      </c>
      <c r="B30" s="9" t="s">
        <v>151</v>
      </c>
      <c r="C30" s="9" t="s">
        <v>64</v>
      </c>
      <c r="D30" s="6" t="s">
        <v>137</v>
      </c>
      <c r="E30" s="6" t="s">
        <v>2219</v>
      </c>
      <c r="F30" s="11" t="s">
        <v>2220</v>
      </c>
      <c r="G30" s="10" t="n">
        <v>14.7</v>
      </c>
      <c r="H30" s="9" t="s">
        <v>1293</v>
      </c>
      <c r="I30" s="6"/>
      <c r="J30" s="9" t="s">
        <v>2221</v>
      </c>
      <c r="K30" s="6"/>
      <c r="L30" s="6" t="s">
        <v>2222</v>
      </c>
      <c r="M30" s="9" t="s">
        <v>444</v>
      </c>
      <c r="N30" s="9" t="s">
        <v>858</v>
      </c>
      <c r="O30" s="12" t="s">
        <v>859</v>
      </c>
    </row>
    <row r="31" customFormat="false" ht="27.6" hidden="false" customHeight="false" outlineLevel="0" collapsed="false">
      <c r="A31" s="6" t="s">
        <v>134</v>
      </c>
      <c r="B31" s="9" t="s">
        <v>135</v>
      </c>
      <c r="C31" s="9" t="s">
        <v>64</v>
      </c>
      <c r="D31" s="6" t="s">
        <v>137</v>
      </c>
      <c r="E31" s="6" t="s">
        <v>2223</v>
      </c>
      <c r="F31" s="11" t="s">
        <v>2224</v>
      </c>
      <c r="G31" s="10" t="n">
        <v>0.6</v>
      </c>
      <c r="H31" s="9" t="s">
        <v>1303</v>
      </c>
      <c r="I31" s="6"/>
      <c r="J31" s="9" t="s">
        <v>2225</v>
      </c>
      <c r="K31" s="6"/>
      <c r="L31" s="6" t="s">
        <v>2226</v>
      </c>
      <c r="M31" s="9" t="s">
        <v>444</v>
      </c>
      <c r="N31" s="9" t="s">
        <v>2227</v>
      </c>
      <c r="O31" s="12" t="s">
        <v>2228</v>
      </c>
    </row>
  </sheetData>
  <autoFilter ref="A4:O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6.68"/>
    <col collapsed="false" customWidth="true" hidden="false" outlineLevel="0" max="5" min="3" style="0" width="13.35"/>
    <col collapsed="false" customWidth="true" hidden="false" outlineLevel="0" max="6" min="6" style="0" width="14.19"/>
    <col collapsed="false" customWidth="true" hidden="false" outlineLevel="0" max="8" min="7" style="0" width="13.35"/>
    <col collapsed="false" customWidth="true" hidden="false" outlineLevel="0" max="9" min="9" style="0" width="28.38"/>
    <col collapsed="false" customWidth="true" hidden="false" outlineLevel="0" max="10" min="10" style="0" width="18.36"/>
    <col collapsed="false" customWidth="true" hidden="false" outlineLevel="0" max="11" min="11" style="0" width="9.18"/>
    <col collapsed="false" customWidth="true" hidden="false" outlineLevel="0" max="12" min="12" style="0" width="13.35"/>
  </cols>
  <sheetData>
    <row r="1" customFormat="false" ht="17.35" hidden="false" customHeight="false" outlineLevel="0" collapsed="false">
      <c r="A1" s="1" t="s">
        <v>2229</v>
      </c>
    </row>
    <row r="2" customFormat="false" ht="15" hidden="false" customHeight="false" outlineLevel="0" collapsed="false">
      <c r="A2" s="2" t="s">
        <v>2230</v>
      </c>
    </row>
    <row r="4" customFormat="false" ht="30" hidden="false" customHeight="true" outlineLevel="0" collapsed="false">
      <c r="A4" s="5" t="s">
        <v>38</v>
      </c>
      <c r="B4" s="5" t="s">
        <v>2231</v>
      </c>
      <c r="C4" s="5" t="s">
        <v>2232</v>
      </c>
      <c r="D4" s="5" t="s">
        <v>2233</v>
      </c>
      <c r="E4" s="13" t="s">
        <v>2234</v>
      </c>
      <c r="F4" s="13" t="s">
        <v>2235</v>
      </c>
      <c r="G4" s="5" t="s">
        <v>2236</v>
      </c>
      <c r="H4" s="5" t="s">
        <v>2237</v>
      </c>
      <c r="I4" s="5" t="s">
        <v>2238</v>
      </c>
      <c r="J4" s="5" t="s">
        <v>2239</v>
      </c>
      <c r="K4" s="5" t="s">
        <v>2</v>
      </c>
      <c r="L4" s="5" t="s">
        <v>437</v>
      </c>
    </row>
    <row r="5" customFormat="false" ht="15" hidden="false" customHeight="false" outlineLevel="0" collapsed="false">
      <c r="A5" s="6" t="s">
        <v>142</v>
      </c>
      <c r="B5" s="6" t="s">
        <v>2240</v>
      </c>
      <c r="C5" s="10"/>
      <c r="D5" s="10"/>
      <c r="E5" s="10"/>
      <c r="F5" s="10"/>
      <c r="G5" s="10" t="n">
        <v>27941468</v>
      </c>
      <c r="H5" s="10" t="n">
        <v>15741614</v>
      </c>
      <c r="I5" s="6" t="s">
        <v>2241</v>
      </c>
      <c r="J5" s="6" t="s">
        <v>54</v>
      </c>
      <c r="K5" s="9" t="s">
        <v>444</v>
      </c>
      <c r="L5" s="9" t="s">
        <v>756</v>
      </c>
    </row>
    <row r="6" customFormat="false" ht="15" hidden="false" customHeight="false" outlineLevel="0" collapsed="false">
      <c r="A6" s="6" t="s">
        <v>208</v>
      </c>
      <c r="B6" s="6" t="s">
        <v>2240</v>
      </c>
      <c r="C6" s="10" t="n">
        <v>6617095777</v>
      </c>
      <c r="D6" s="10" t="n">
        <v>4715354407</v>
      </c>
      <c r="E6" s="10" t="n">
        <v>454276688</v>
      </c>
      <c r="F6" s="10" t="n">
        <v>1371845572</v>
      </c>
      <c r="G6" s="10" t="n">
        <v>149388376</v>
      </c>
      <c r="H6" s="10" t="n">
        <v>3451069964</v>
      </c>
      <c r="I6" s="6" t="s">
        <v>2242</v>
      </c>
      <c r="J6" s="9" t="s">
        <v>124</v>
      </c>
      <c r="K6" s="9" t="s">
        <v>444</v>
      </c>
      <c r="L6" s="9" t="s">
        <v>517</v>
      </c>
    </row>
    <row r="7" customFormat="false" ht="15" hidden="false" customHeight="false" outlineLevel="0" collapsed="false">
      <c r="A7" s="6" t="s">
        <v>121</v>
      </c>
      <c r="B7" s="6" t="s">
        <v>2240</v>
      </c>
      <c r="C7" s="10" t="n">
        <v>153732888</v>
      </c>
      <c r="D7" s="10" t="n">
        <v>150361566</v>
      </c>
      <c r="E7" s="10"/>
      <c r="F7" s="10" t="n">
        <v>3371322</v>
      </c>
      <c r="G7" s="10" t="n">
        <v>7332504</v>
      </c>
      <c r="H7" s="10"/>
      <c r="I7" s="6" t="s">
        <v>2243</v>
      </c>
      <c r="J7" s="9" t="s">
        <v>124</v>
      </c>
      <c r="K7" s="9" t="s">
        <v>444</v>
      </c>
      <c r="L7" s="9" t="s">
        <v>822</v>
      </c>
    </row>
    <row r="8" customFormat="false" ht="15" hidden="false" customHeight="false" outlineLevel="0" collapsed="false">
      <c r="A8" s="6" t="s">
        <v>110</v>
      </c>
      <c r="B8" s="6" t="s">
        <v>2244</v>
      </c>
      <c r="C8" s="10" t="n">
        <v>142989668932</v>
      </c>
      <c r="D8" s="10" t="n">
        <v>134787577198</v>
      </c>
      <c r="E8" s="10" t="n">
        <v>5356058914</v>
      </c>
      <c r="F8" s="10" t="n">
        <v>2846032820</v>
      </c>
      <c r="G8" s="10" t="n">
        <v>14000000</v>
      </c>
      <c r="H8" s="10" t="n">
        <v>30852958086</v>
      </c>
      <c r="I8" s="6" t="s">
        <v>2245</v>
      </c>
      <c r="J8" s="6" t="s">
        <v>54</v>
      </c>
      <c r="K8" s="9" t="s">
        <v>444</v>
      </c>
      <c r="L8" s="9" t="s">
        <v>888</v>
      </c>
    </row>
    <row r="9" customFormat="false" ht="15" hidden="false" customHeight="false" outlineLevel="0" collapsed="false">
      <c r="A9" s="6" t="s">
        <v>362</v>
      </c>
      <c r="B9" s="6" t="s">
        <v>2240</v>
      </c>
      <c r="C9" s="10"/>
      <c r="D9" s="10"/>
      <c r="E9" s="10"/>
      <c r="F9" s="10"/>
      <c r="G9" s="10" t="n">
        <v>15914953</v>
      </c>
      <c r="H9" s="10" t="n">
        <v>257146334</v>
      </c>
      <c r="I9" s="6" t="s">
        <v>2243</v>
      </c>
      <c r="J9" s="6" t="s">
        <v>54</v>
      </c>
      <c r="K9" s="9" t="s">
        <v>444</v>
      </c>
      <c r="L9" s="9" t="s">
        <v>792</v>
      </c>
    </row>
    <row r="10" customFormat="false" ht="15" hidden="false" customHeight="false" outlineLevel="0" collapsed="false">
      <c r="A10" s="6" t="s">
        <v>182</v>
      </c>
      <c r="B10" s="6" t="s">
        <v>2246</v>
      </c>
      <c r="C10" s="10" t="n">
        <v>32461501</v>
      </c>
      <c r="D10" s="10" t="n">
        <v>31229021</v>
      </c>
      <c r="E10" s="10" t="n">
        <v>724669</v>
      </c>
      <c r="F10" s="10" t="n">
        <v>385433</v>
      </c>
      <c r="G10" s="10" t="n">
        <v>8007854</v>
      </c>
      <c r="H10" s="10" t="n">
        <v>13998106</v>
      </c>
      <c r="I10" s="6" t="s">
        <v>2247</v>
      </c>
      <c r="J10" s="6" t="s">
        <v>54</v>
      </c>
      <c r="K10" s="9" t="s">
        <v>444</v>
      </c>
      <c r="L10" s="9" t="s">
        <v>476</v>
      </c>
    </row>
    <row r="11" customFormat="false" ht="15" hidden="false" customHeight="false" outlineLevel="0" collapsed="false">
      <c r="A11" s="6" t="s">
        <v>204</v>
      </c>
      <c r="B11" s="6" t="s">
        <v>2246</v>
      </c>
      <c r="C11" s="10" t="n">
        <v>2062903</v>
      </c>
      <c r="D11" s="10" t="n">
        <v>1854050</v>
      </c>
      <c r="E11" s="10" t="n">
        <v>144799</v>
      </c>
      <c r="F11" s="10" t="n">
        <v>42711</v>
      </c>
      <c r="G11" s="10" t="n">
        <v>13491</v>
      </c>
      <c r="H11" s="10" t="n">
        <v>778471</v>
      </c>
      <c r="I11" s="6" t="s">
        <v>2248</v>
      </c>
      <c r="J11" s="9" t="s">
        <v>124</v>
      </c>
      <c r="K11" s="9" t="s">
        <v>444</v>
      </c>
      <c r="L11" s="9" t="s">
        <v>714</v>
      </c>
    </row>
    <row r="12" customFormat="false" ht="15" hidden="false" customHeight="false" outlineLevel="0" collapsed="false">
      <c r="A12" s="6" t="s">
        <v>125</v>
      </c>
      <c r="B12" s="6" t="s">
        <v>2244</v>
      </c>
      <c r="C12" s="10" t="n">
        <v>72101139195</v>
      </c>
      <c r="D12" s="10" t="n">
        <v>70739859195</v>
      </c>
      <c r="E12" s="10"/>
      <c r="F12" s="10" t="n">
        <v>1361280000</v>
      </c>
      <c r="G12" s="10" t="n">
        <v>1875000</v>
      </c>
      <c r="H12" s="10" t="n">
        <v>45187800683</v>
      </c>
      <c r="I12" s="6" t="s">
        <v>2243</v>
      </c>
      <c r="J12" s="6" t="s">
        <v>54</v>
      </c>
      <c r="K12" s="9" t="s">
        <v>444</v>
      </c>
      <c r="L12" s="9" t="s">
        <v>906</v>
      </c>
    </row>
    <row r="13" customFormat="false" ht="15" hidden="false" customHeight="false" outlineLevel="0" collapsed="false">
      <c r="A13" s="6" t="s">
        <v>222</v>
      </c>
      <c r="B13" s="6" t="s">
        <v>2246</v>
      </c>
      <c r="C13" s="10" t="n">
        <v>9372208</v>
      </c>
      <c r="D13" s="10" t="n">
        <v>8431209</v>
      </c>
      <c r="E13" s="10" t="n">
        <v>112291</v>
      </c>
      <c r="F13" s="10" t="n">
        <v>740161</v>
      </c>
      <c r="G13" s="10" t="n">
        <v>212715</v>
      </c>
      <c r="H13" s="10" t="n">
        <v>4927903</v>
      </c>
      <c r="I13" s="6" t="s">
        <v>2249</v>
      </c>
      <c r="J13" s="6" t="s">
        <v>54</v>
      </c>
      <c r="K13" s="9" t="s">
        <v>444</v>
      </c>
      <c r="L13" s="9" t="s">
        <v>534</v>
      </c>
    </row>
    <row r="14" customFormat="false" ht="15" hidden="false" customHeight="false" outlineLevel="0" collapsed="false">
      <c r="A14" s="6" t="s">
        <v>77</v>
      </c>
      <c r="B14" s="6" t="s">
        <v>2240</v>
      </c>
      <c r="C14" s="10" t="n">
        <v>110462778</v>
      </c>
      <c r="D14" s="10" t="n">
        <v>105575137</v>
      </c>
      <c r="E14" s="10"/>
      <c r="F14" s="10" t="n">
        <v>4887641</v>
      </c>
      <c r="G14" s="10" t="n">
        <v>17000000</v>
      </c>
      <c r="H14" s="10" t="n">
        <v>37655764</v>
      </c>
      <c r="I14" s="6" t="s">
        <v>2241</v>
      </c>
      <c r="J14" s="6" t="s">
        <v>54</v>
      </c>
      <c r="K14" s="9" t="s">
        <v>444</v>
      </c>
      <c r="L14" s="9" t="s">
        <v>768</v>
      </c>
    </row>
    <row r="15" customFormat="false" ht="15" hidden="false" customHeight="false" outlineLevel="0" collapsed="false">
      <c r="A15" s="6" t="s">
        <v>117</v>
      </c>
      <c r="B15" s="6" t="s">
        <v>2240</v>
      </c>
      <c r="C15" s="10"/>
      <c r="D15" s="10"/>
      <c r="E15" s="10"/>
      <c r="F15" s="10"/>
      <c r="G15" s="10" t="n">
        <v>7785952</v>
      </c>
      <c r="H15" s="10"/>
      <c r="I15" s="6" t="s">
        <v>2250</v>
      </c>
      <c r="J15" s="6" t="s">
        <v>54</v>
      </c>
      <c r="K15" s="9" t="s">
        <v>444</v>
      </c>
      <c r="L15" s="9" t="s">
        <v>828</v>
      </c>
    </row>
    <row r="16" customFormat="false" ht="15" hidden="false" customHeight="false" outlineLevel="0" collapsed="false">
      <c r="A16" s="6" t="s">
        <v>169</v>
      </c>
      <c r="B16" s="6" t="s">
        <v>2246</v>
      </c>
      <c r="C16" s="10" t="n">
        <v>276102125</v>
      </c>
      <c r="D16" s="10" t="n">
        <v>252334454</v>
      </c>
      <c r="E16" s="10" t="n">
        <v>22090048</v>
      </c>
      <c r="F16" s="10" t="n">
        <v>1626577</v>
      </c>
      <c r="G16" s="10" t="n">
        <v>74048085</v>
      </c>
      <c r="H16" s="10"/>
      <c r="I16" s="6" t="s">
        <v>2251</v>
      </c>
      <c r="J16" s="6" t="s">
        <v>54</v>
      </c>
      <c r="K16" s="9" t="s">
        <v>444</v>
      </c>
      <c r="L16" s="9" t="s">
        <v>445</v>
      </c>
    </row>
    <row r="17" customFormat="false" ht="15" hidden="false" customHeight="false" outlineLevel="0" collapsed="false">
      <c r="A17" s="6" t="s">
        <v>243</v>
      </c>
      <c r="B17" s="6" t="s">
        <v>2240</v>
      </c>
      <c r="C17" s="10" t="n">
        <v>617608691</v>
      </c>
      <c r="D17" s="10" t="n">
        <v>578098516</v>
      </c>
      <c r="E17" s="10" t="n">
        <v>4929416</v>
      </c>
      <c r="F17" s="10" t="n">
        <v>34580758</v>
      </c>
      <c r="G17" s="10" t="n">
        <v>55867274</v>
      </c>
      <c r="H17" s="10" t="n">
        <v>332840577</v>
      </c>
      <c r="I17" s="6" t="s">
        <v>2252</v>
      </c>
      <c r="J17" s="6" t="s">
        <v>54</v>
      </c>
      <c r="K17" s="9" t="s">
        <v>444</v>
      </c>
      <c r="L17" s="9" t="s">
        <v>678</v>
      </c>
    </row>
    <row r="18" customFormat="false" ht="15" hidden="false" customHeight="false" outlineLevel="0" collapsed="false">
      <c r="A18" s="6" t="s">
        <v>283</v>
      </c>
      <c r="B18" s="6" t="s">
        <v>2240</v>
      </c>
      <c r="C18" s="10" t="n">
        <v>208128692</v>
      </c>
      <c r="D18" s="10" t="n">
        <v>168051219</v>
      </c>
      <c r="E18" s="10" t="n">
        <v>11302220</v>
      </c>
      <c r="F18" s="10" t="n">
        <v>28775253</v>
      </c>
      <c r="G18" s="10" t="n">
        <v>14154576</v>
      </c>
      <c r="H18" s="10" t="n">
        <v>95943976</v>
      </c>
      <c r="I18" s="6" t="s">
        <v>2253</v>
      </c>
      <c r="J18" s="9" t="s">
        <v>124</v>
      </c>
      <c r="K18" s="9" t="s">
        <v>444</v>
      </c>
      <c r="L18" s="9" t="s">
        <v>738</v>
      </c>
    </row>
    <row r="19" customFormat="false" ht="15" hidden="false" customHeight="false" outlineLevel="0" collapsed="false">
      <c r="A19" s="9" t="s">
        <v>106</v>
      </c>
      <c r="B19" s="6" t="s">
        <v>2244</v>
      </c>
      <c r="C19" s="10"/>
      <c r="D19" s="10"/>
      <c r="E19" s="10"/>
      <c r="F19" s="10"/>
      <c r="G19" s="10" t="n">
        <v>2198710457</v>
      </c>
      <c r="H19" s="10" t="n">
        <v>70103202803</v>
      </c>
      <c r="I19" s="6" t="s">
        <v>2254</v>
      </c>
      <c r="J19" s="6" t="s">
        <v>54</v>
      </c>
      <c r="K19" s="9" t="s">
        <v>444</v>
      </c>
      <c r="L19" s="9" t="s">
        <v>900</v>
      </c>
    </row>
    <row r="20" customFormat="false" ht="15" hidden="false" customHeight="false" outlineLevel="0" collapsed="false">
      <c r="A20" s="9" t="s">
        <v>399</v>
      </c>
      <c r="B20" s="6" t="s">
        <v>2246</v>
      </c>
      <c r="C20" s="10" t="n">
        <v>2469991</v>
      </c>
      <c r="D20" s="10" t="n">
        <v>1957422</v>
      </c>
      <c r="E20" s="10" t="n">
        <v>87538</v>
      </c>
      <c r="F20" s="10" t="n">
        <v>425031</v>
      </c>
      <c r="G20" s="10" t="n">
        <v>109671</v>
      </c>
      <c r="H20" s="10"/>
      <c r="I20" s="6" t="s">
        <v>2241</v>
      </c>
      <c r="J20" s="6" t="s">
        <v>54</v>
      </c>
      <c r="K20" s="9" t="s">
        <v>444</v>
      </c>
      <c r="L20" s="9" t="s">
        <v>564</v>
      </c>
    </row>
    <row r="21" customFormat="false" ht="15" hidden="false" customHeight="false" outlineLevel="0" collapsed="false">
      <c r="A21" s="6" t="s">
        <v>138</v>
      </c>
      <c r="B21" s="6" t="s">
        <v>2240</v>
      </c>
      <c r="C21" s="10" t="n">
        <v>81819760</v>
      </c>
      <c r="D21" s="10" t="n">
        <v>62755594</v>
      </c>
      <c r="E21" s="10"/>
      <c r="F21" s="10" t="n">
        <v>19064166</v>
      </c>
      <c r="G21" s="10" t="n">
        <v>41405264</v>
      </c>
      <c r="H21" s="10" t="n">
        <v>1351578</v>
      </c>
      <c r="I21" s="6" t="s">
        <v>2243</v>
      </c>
      <c r="J21" s="9" t="s">
        <v>124</v>
      </c>
      <c r="K21" s="9" t="s">
        <v>444</v>
      </c>
      <c r="L21" s="9" t="s">
        <v>708</v>
      </c>
    </row>
    <row r="22" customFormat="false" ht="15" hidden="false" customHeight="false" outlineLevel="0" collapsed="false">
      <c r="A22" s="9" t="s">
        <v>81</v>
      </c>
      <c r="B22" s="6" t="s">
        <v>2240</v>
      </c>
      <c r="C22" s="10"/>
      <c r="D22" s="10"/>
      <c r="E22" s="10"/>
      <c r="F22" s="10"/>
      <c r="G22" s="10" t="n">
        <v>3584284</v>
      </c>
      <c r="H22" s="10" t="n">
        <v>191369577</v>
      </c>
      <c r="I22" s="6" t="s">
        <v>2254</v>
      </c>
      <c r="J22" s="6" t="s">
        <v>54</v>
      </c>
      <c r="K22" s="9" t="s">
        <v>444</v>
      </c>
      <c r="L22" s="9" t="s">
        <v>870</v>
      </c>
    </row>
    <row r="23" customFormat="false" ht="15" hidden="false" customHeight="false" outlineLevel="0" collapsed="false">
      <c r="A23" s="9" t="s">
        <v>273</v>
      </c>
      <c r="B23" s="6" t="s">
        <v>2240</v>
      </c>
      <c r="C23" s="10" t="n">
        <v>1318909836</v>
      </c>
      <c r="D23" s="10" t="n">
        <v>1296348644</v>
      </c>
      <c r="E23" s="10" t="n">
        <v>16514040</v>
      </c>
      <c r="F23" s="10" t="n">
        <v>6047152</v>
      </c>
      <c r="G23" s="10" t="n">
        <v>262260000</v>
      </c>
      <c r="H23" s="10" t="n">
        <v>783286752</v>
      </c>
      <c r="I23" s="6" t="s">
        <v>2255</v>
      </c>
      <c r="J23" s="9" t="s">
        <v>124</v>
      </c>
      <c r="K23" s="9" t="s">
        <v>444</v>
      </c>
      <c r="L23" s="9" t="s">
        <v>606</v>
      </c>
    </row>
    <row r="24" customFormat="false" ht="15" hidden="false" customHeight="false" outlineLevel="0" collapsed="false">
      <c r="A24" s="6" t="s">
        <v>57</v>
      </c>
      <c r="B24" s="6" t="s">
        <v>2240</v>
      </c>
      <c r="C24" s="10" t="n">
        <v>372784771</v>
      </c>
      <c r="D24" s="10" t="n">
        <v>308194651</v>
      </c>
      <c r="E24" s="10" t="n">
        <v>5701050</v>
      </c>
      <c r="F24" s="10" t="n">
        <v>58889070</v>
      </c>
      <c r="G24" s="10" t="n">
        <v>46004118</v>
      </c>
      <c r="H24" s="10" t="n">
        <v>112551480</v>
      </c>
      <c r="I24" s="6" t="s">
        <v>2256</v>
      </c>
      <c r="J24" s="6" t="s">
        <v>54</v>
      </c>
      <c r="K24" s="9" t="s">
        <v>444</v>
      </c>
      <c r="L24" s="9" t="s">
        <v>666</v>
      </c>
    </row>
    <row r="25" customFormat="false" ht="15" hidden="false" customHeight="false" outlineLevel="0" collapsed="false">
      <c r="A25" s="9" t="s">
        <v>371</v>
      </c>
      <c r="B25" s="6" t="s">
        <v>2240</v>
      </c>
      <c r="C25" s="10" t="n">
        <v>2385651131</v>
      </c>
      <c r="D25" s="10" t="n">
        <v>1940427225</v>
      </c>
      <c r="E25" s="10" t="n">
        <v>210973204</v>
      </c>
      <c r="F25" s="10" t="n">
        <v>234250702</v>
      </c>
      <c r="G25" s="10" t="n">
        <v>279641072</v>
      </c>
      <c r="H25" s="10"/>
      <c r="I25" s="6" t="s">
        <v>2257</v>
      </c>
      <c r="J25" s="9" t="s">
        <v>124</v>
      </c>
      <c r="K25" s="9" t="s">
        <v>444</v>
      </c>
      <c r="L25" s="9" t="s">
        <v>570</v>
      </c>
    </row>
    <row r="26" customFormat="false" ht="15" hidden="false" customHeight="false" outlineLevel="0" collapsed="false">
      <c r="A26" s="6" t="s">
        <v>331</v>
      </c>
      <c r="B26" s="6" t="s">
        <v>2240</v>
      </c>
      <c r="C26" s="10" t="n">
        <v>660081828</v>
      </c>
      <c r="D26" s="10" t="n">
        <v>660081828</v>
      </c>
      <c r="E26" s="10" t="n">
        <v>0</v>
      </c>
      <c r="F26" s="10" t="n">
        <v>0</v>
      </c>
      <c r="G26" s="10" t="n">
        <v>621158550</v>
      </c>
      <c r="H26" s="10" t="n">
        <v>38923278</v>
      </c>
      <c r="I26" s="6" t="s">
        <v>2254</v>
      </c>
      <c r="J26" s="6" t="s">
        <v>54</v>
      </c>
      <c r="K26" s="9" t="s">
        <v>444</v>
      </c>
      <c r="L26" s="9" t="s">
        <v>546</v>
      </c>
    </row>
    <row r="27" customFormat="false" ht="15" hidden="false" customHeight="false" outlineLevel="0" collapsed="false">
      <c r="A27" s="6" t="s">
        <v>129</v>
      </c>
      <c r="B27" s="6" t="s">
        <v>2240</v>
      </c>
      <c r="C27" s="10"/>
      <c r="D27" s="10"/>
      <c r="E27" s="10"/>
      <c r="F27" s="10"/>
      <c r="G27" s="10" t="n">
        <v>6214853</v>
      </c>
      <c r="H27" s="10" t="n">
        <v>57663493</v>
      </c>
      <c r="I27" s="6" t="s">
        <v>2258</v>
      </c>
      <c r="J27" s="6" t="s">
        <v>54</v>
      </c>
      <c r="K27" s="9" t="s">
        <v>444</v>
      </c>
      <c r="L27" s="9" t="s">
        <v>852</v>
      </c>
    </row>
    <row r="28" customFormat="false" ht="15" hidden="false" customHeight="false" outlineLevel="0" collapsed="false">
      <c r="A28" s="6" t="s">
        <v>368</v>
      </c>
      <c r="B28" s="6" t="s">
        <v>2246</v>
      </c>
      <c r="C28" s="10" t="n">
        <v>2530749</v>
      </c>
      <c r="D28" s="10" t="n">
        <v>1283465</v>
      </c>
      <c r="E28" s="10" t="n">
        <v>107369</v>
      </c>
      <c r="F28" s="10" t="n">
        <v>1139915</v>
      </c>
      <c r="G28" s="10"/>
      <c r="H28" s="10" t="n">
        <v>596631</v>
      </c>
      <c r="I28" s="6"/>
      <c r="J28" s="6" t="s">
        <v>54</v>
      </c>
      <c r="K28" s="9" t="s">
        <v>444</v>
      </c>
      <c r="L28" s="9" t="s">
        <v>528</v>
      </c>
    </row>
    <row r="29" customFormat="false" ht="15" hidden="false" customHeight="false" outlineLevel="0" collapsed="false">
      <c r="A29" s="6" t="s">
        <v>185</v>
      </c>
      <c r="B29" s="6" t="s">
        <v>2246</v>
      </c>
      <c r="C29" s="10" t="n">
        <v>6376900</v>
      </c>
      <c r="D29" s="10" t="n">
        <v>5735030</v>
      </c>
      <c r="E29" s="10" t="n">
        <v>101578</v>
      </c>
      <c r="F29" s="10" t="n">
        <v>460571</v>
      </c>
      <c r="G29" s="10" t="n">
        <v>131567</v>
      </c>
      <c r="H29" s="10" t="n">
        <v>3080997</v>
      </c>
      <c r="I29" s="6" t="s">
        <v>2249</v>
      </c>
      <c r="J29" s="6" t="s">
        <v>54</v>
      </c>
      <c r="K29" s="9" t="s">
        <v>444</v>
      </c>
      <c r="L29" s="9" t="s">
        <v>558</v>
      </c>
    </row>
    <row r="30" customFormat="false" ht="15" hidden="false" customHeight="false" outlineLevel="0" collapsed="false">
      <c r="A30" s="9" t="s">
        <v>280</v>
      </c>
      <c r="B30" s="6" t="s">
        <v>2246</v>
      </c>
      <c r="C30" s="10" t="n">
        <v>1278348</v>
      </c>
      <c r="D30" s="10" t="n">
        <v>608812</v>
      </c>
      <c r="E30" s="10" t="n">
        <v>51552</v>
      </c>
      <c r="F30" s="10" t="n">
        <v>617984</v>
      </c>
      <c r="G30" s="10" t="n">
        <v>133870</v>
      </c>
      <c r="H30" s="10" t="n">
        <v>323054</v>
      </c>
      <c r="I30" s="6" t="s">
        <v>2259</v>
      </c>
      <c r="J30" s="9" t="s">
        <v>124</v>
      </c>
      <c r="K30" s="9" t="s">
        <v>444</v>
      </c>
      <c r="L30" s="9" t="s">
        <v>540</v>
      </c>
    </row>
    <row r="31" customFormat="false" ht="15" hidden="false" customHeight="false" outlineLevel="0" collapsed="false">
      <c r="A31" s="6" t="s">
        <v>287</v>
      </c>
      <c r="B31" s="6" t="s">
        <v>2240</v>
      </c>
      <c r="C31" s="10" t="n">
        <v>2532230690</v>
      </c>
      <c r="D31" s="10" t="n">
        <v>2061454777</v>
      </c>
      <c r="E31" s="10" t="n">
        <v>468334313</v>
      </c>
      <c r="F31" s="10" t="n">
        <v>0</v>
      </c>
      <c r="G31" s="10" t="n">
        <v>12548329</v>
      </c>
      <c r="H31" s="10" t="n">
        <v>924789115</v>
      </c>
      <c r="I31" s="6" t="s">
        <v>2260</v>
      </c>
      <c r="J31" s="6" t="s">
        <v>54</v>
      </c>
      <c r="K31" s="9" t="s">
        <v>444</v>
      </c>
      <c r="L31" s="9" t="s">
        <v>804</v>
      </c>
    </row>
    <row r="32" customFormat="false" ht="15" hidden="false" customHeight="false" outlineLevel="0" collapsed="false">
      <c r="A32" s="6" t="s">
        <v>312</v>
      </c>
      <c r="B32" s="6" t="s">
        <v>2240</v>
      </c>
      <c r="C32" s="10" t="n">
        <v>121874407</v>
      </c>
      <c r="D32" s="10" t="n">
        <v>107414179</v>
      </c>
      <c r="E32" s="10" t="n">
        <v>12767027</v>
      </c>
      <c r="F32" s="10" t="n">
        <v>1693201</v>
      </c>
      <c r="G32" s="10" t="n">
        <v>1471551</v>
      </c>
      <c r="H32" s="10"/>
      <c r="I32" s="6" t="s">
        <v>2261</v>
      </c>
      <c r="J32" s="6" t="s">
        <v>54</v>
      </c>
      <c r="K32" s="9" t="s">
        <v>444</v>
      </c>
      <c r="L32" s="9" t="s">
        <v>882</v>
      </c>
    </row>
    <row r="33" customFormat="false" ht="15" hidden="false" customHeight="false" outlineLevel="0" collapsed="false">
      <c r="A33" s="6" t="s">
        <v>263</v>
      </c>
      <c r="B33" s="6" t="s">
        <v>2246</v>
      </c>
      <c r="C33" s="10" t="n">
        <v>6954031</v>
      </c>
      <c r="D33" s="10" t="n">
        <v>5775056</v>
      </c>
      <c r="E33" s="10" t="n">
        <v>77620</v>
      </c>
      <c r="F33" s="10" t="n">
        <v>1091213</v>
      </c>
      <c r="G33" s="10" t="n">
        <v>685520</v>
      </c>
      <c r="H33" s="10" t="n">
        <v>2470461</v>
      </c>
      <c r="I33" s="6" t="s">
        <v>2248</v>
      </c>
      <c r="J33" s="9" t="s">
        <v>124</v>
      </c>
      <c r="K33" s="9" t="s">
        <v>444</v>
      </c>
      <c r="L33" s="9" t="s">
        <v>506</v>
      </c>
    </row>
    <row r="34" customFormat="false" ht="15" hidden="false" customHeight="false" outlineLevel="0" collapsed="false">
      <c r="A34" s="9" t="s">
        <v>213</v>
      </c>
      <c r="B34" s="6" t="s">
        <v>2246</v>
      </c>
      <c r="C34" s="10" t="n">
        <v>15588068</v>
      </c>
      <c r="D34" s="10" t="n">
        <v>14305192</v>
      </c>
      <c r="E34" s="10" t="n">
        <v>613248</v>
      </c>
      <c r="F34" s="10" t="n">
        <v>669628</v>
      </c>
      <c r="G34" s="10" t="n">
        <v>10915971</v>
      </c>
      <c r="H34" s="10" t="n">
        <v>1760767</v>
      </c>
      <c r="I34" s="6" t="s">
        <v>2253</v>
      </c>
      <c r="J34" s="6" t="s">
        <v>54</v>
      </c>
      <c r="K34" s="9" t="s">
        <v>444</v>
      </c>
      <c r="L34" s="9" t="s">
        <v>464</v>
      </c>
    </row>
    <row r="35" customFormat="false" ht="15" hidden="false" customHeight="false" outlineLevel="0" collapsed="false">
      <c r="A35" s="6" t="s">
        <v>178</v>
      </c>
      <c r="B35" s="6" t="s">
        <v>2246</v>
      </c>
      <c r="C35" s="10" t="n">
        <v>182408055</v>
      </c>
      <c r="D35" s="10" t="n">
        <v>173796927</v>
      </c>
      <c r="E35" s="10" t="n">
        <v>4216611</v>
      </c>
      <c r="F35" s="10" t="n">
        <v>3271124</v>
      </c>
      <c r="G35" s="10" t="n">
        <v>6141882</v>
      </c>
      <c r="H35" s="10" t="n">
        <v>18360566</v>
      </c>
      <c r="I35" s="6" t="s">
        <v>2247</v>
      </c>
      <c r="J35" s="6" t="s">
        <v>54</v>
      </c>
      <c r="K35" s="9" t="s">
        <v>444</v>
      </c>
      <c r="L35" s="9" t="s">
        <v>470</v>
      </c>
    </row>
    <row r="36" customFormat="false" ht="15" hidden="false" customHeight="false" outlineLevel="0" collapsed="false">
      <c r="A36" s="9" t="s">
        <v>174</v>
      </c>
      <c r="B36" s="6" t="s">
        <v>2246</v>
      </c>
      <c r="C36" s="10" t="n">
        <v>69804530</v>
      </c>
      <c r="D36" s="10" t="n">
        <v>48243805</v>
      </c>
      <c r="E36" s="10" t="n">
        <v>1256429</v>
      </c>
      <c r="F36" s="10" t="n">
        <v>20108429</v>
      </c>
      <c r="G36" s="10" t="n">
        <v>14679719</v>
      </c>
      <c r="H36" s="10" t="n">
        <v>14923766</v>
      </c>
      <c r="I36" s="6" t="s">
        <v>2262</v>
      </c>
      <c r="J36" s="6" t="s">
        <v>54</v>
      </c>
      <c r="K36" s="9" t="s">
        <v>444</v>
      </c>
      <c r="L36" s="9" t="s">
        <v>452</v>
      </c>
    </row>
    <row r="37" customFormat="false" ht="15" hidden="false" customHeight="false" outlineLevel="0" collapsed="false">
      <c r="A37" s="6" t="s">
        <v>189</v>
      </c>
      <c r="B37" s="6" t="s">
        <v>2246</v>
      </c>
      <c r="C37" s="10"/>
      <c r="D37" s="10" t="n">
        <v>6741601</v>
      </c>
      <c r="E37" s="10"/>
      <c r="F37" s="10" t="n">
        <v>149735</v>
      </c>
      <c r="G37" s="10" t="n">
        <v>6891336</v>
      </c>
      <c r="H37" s="10" t="n">
        <v>4922378</v>
      </c>
      <c r="I37" s="6" t="s">
        <v>2243</v>
      </c>
      <c r="J37" s="6" t="s">
        <v>54</v>
      </c>
      <c r="K37" s="9" t="s">
        <v>444</v>
      </c>
      <c r="L37" s="9" t="s">
        <v>482</v>
      </c>
    </row>
    <row r="38" customFormat="false" ht="15" hidden="false" customHeight="false" outlineLevel="0" collapsed="false">
      <c r="A38" s="6" t="s">
        <v>390</v>
      </c>
      <c r="B38" s="6" t="s">
        <v>2240</v>
      </c>
      <c r="C38" s="10" t="n">
        <v>467294761</v>
      </c>
      <c r="D38" s="10"/>
      <c r="E38" s="10"/>
      <c r="F38" s="10"/>
      <c r="G38" s="10" t="n">
        <v>299192962</v>
      </c>
      <c r="H38" s="10"/>
      <c r="I38" s="6" t="s">
        <v>2263</v>
      </c>
      <c r="J38" s="6" t="s">
        <v>54</v>
      </c>
      <c r="K38" s="9" t="s">
        <v>444</v>
      </c>
      <c r="L38" s="9" t="s">
        <v>594</v>
      </c>
    </row>
    <row r="39" customFormat="false" ht="15" hidden="false" customHeight="false" outlineLevel="0" collapsed="false">
      <c r="A39" s="6" t="s">
        <v>96</v>
      </c>
      <c r="B39" s="6" t="s">
        <v>2240</v>
      </c>
      <c r="C39" s="10" t="n">
        <v>177683754</v>
      </c>
      <c r="D39" s="10" t="n">
        <v>130753349</v>
      </c>
      <c r="E39" s="10" t="n">
        <v>44930310</v>
      </c>
      <c r="F39" s="10" t="n">
        <v>2000095</v>
      </c>
      <c r="G39" s="10" t="n">
        <v>696899</v>
      </c>
      <c r="H39" s="10" t="n">
        <v>63580166</v>
      </c>
      <c r="I39" s="6" t="s">
        <v>2264</v>
      </c>
      <c r="J39" s="6" t="s">
        <v>54</v>
      </c>
      <c r="K39" s="9" t="s">
        <v>444</v>
      </c>
      <c r="L39" s="9" t="s">
        <v>894</v>
      </c>
    </row>
    <row r="40" customFormat="false" ht="15" hidden="false" customHeight="false" outlineLevel="0" collapsed="false">
      <c r="A40" s="6" t="s">
        <v>153</v>
      </c>
      <c r="B40" s="6" t="s">
        <v>2244</v>
      </c>
      <c r="C40" s="10"/>
      <c r="D40" s="10"/>
      <c r="E40" s="10"/>
      <c r="F40" s="10"/>
      <c r="G40" s="10" t="n">
        <v>31589755315</v>
      </c>
      <c r="H40" s="10" t="n">
        <v>6506602038</v>
      </c>
      <c r="I40" s="6" t="s">
        <v>2243</v>
      </c>
      <c r="J40" s="6" t="s">
        <v>54</v>
      </c>
      <c r="K40" s="9" t="s">
        <v>444</v>
      </c>
      <c r="L40" s="9" t="s">
        <v>744</v>
      </c>
    </row>
    <row r="41" customFormat="false" ht="15" hidden="false" customHeight="false" outlineLevel="0" collapsed="false">
      <c r="A41" s="6" t="s">
        <v>417</v>
      </c>
      <c r="B41" s="6" t="s">
        <v>2240</v>
      </c>
      <c r="C41" s="10" t="n">
        <v>175237798</v>
      </c>
      <c r="D41" s="10"/>
      <c r="E41" s="10"/>
      <c r="F41" s="10"/>
      <c r="G41" s="10" t="n">
        <v>15264728</v>
      </c>
      <c r="H41" s="10" t="n">
        <v>87095349</v>
      </c>
      <c r="I41" s="6" t="s">
        <v>2241</v>
      </c>
      <c r="J41" s="6" t="s">
        <v>54</v>
      </c>
      <c r="K41" s="9" t="s">
        <v>444</v>
      </c>
      <c r="L41" s="9" t="s">
        <v>798</v>
      </c>
    </row>
    <row r="42" customFormat="false" ht="15" hidden="false" customHeight="false" outlineLevel="0" collapsed="false">
      <c r="A42" s="9" t="s">
        <v>196</v>
      </c>
      <c r="B42" s="6" t="s">
        <v>2246</v>
      </c>
      <c r="C42" s="10" t="n">
        <v>55565751</v>
      </c>
      <c r="D42" s="10" t="n">
        <v>40210647</v>
      </c>
      <c r="E42" s="10" t="n">
        <v>6089781</v>
      </c>
      <c r="F42" s="10" t="n">
        <v>8756097</v>
      </c>
      <c r="G42" s="10" t="n">
        <v>3600973</v>
      </c>
      <c r="H42" s="10" t="n">
        <v>25214132</v>
      </c>
      <c r="I42" s="6" t="s">
        <v>2265</v>
      </c>
      <c r="J42" s="6" t="s">
        <v>54</v>
      </c>
      <c r="K42" s="9" t="s">
        <v>444</v>
      </c>
      <c r="L42" s="9" t="s">
        <v>458</v>
      </c>
    </row>
    <row r="43" customFormat="false" ht="15" hidden="false" customHeight="false" outlineLevel="0" collapsed="false">
      <c r="A43" s="6" t="s">
        <v>338</v>
      </c>
      <c r="B43" s="6" t="s">
        <v>2240</v>
      </c>
      <c r="C43" s="10" t="n">
        <v>1222504491</v>
      </c>
      <c r="D43" s="10" t="n">
        <v>1205068513</v>
      </c>
      <c r="E43" s="10" t="n">
        <v>5727560</v>
      </c>
      <c r="F43" s="10" t="n">
        <v>7474935</v>
      </c>
      <c r="G43" s="10" t="n">
        <v>36978397</v>
      </c>
      <c r="H43" s="10" t="n">
        <v>625567094</v>
      </c>
      <c r="I43" s="6" t="s">
        <v>2248</v>
      </c>
      <c r="J43" s="6" t="s">
        <v>54</v>
      </c>
      <c r="K43" s="9" t="s">
        <v>444</v>
      </c>
      <c r="L43" s="9" t="s">
        <v>726</v>
      </c>
    </row>
    <row r="44" customFormat="false" ht="15" hidden="false" customHeight="false" outlineLevel="0" collapsed="false">
      <c r="A44" s="6" t="s">
        <v>67</v>
      </c>
      <c r="B44" s="6" t="s">
        <v>2244</v>
      </c>
      <c r="C44" s="10"/>
      <c r="D44" s="10"/>
      <c r="E44" s="10"/>
      <c r="F44" s="10"/>
      <c r="G44" s="10" t="n">
        <v>93562649009</v>
      </c>
      <c r="H44" s="10" t="n">
        <v>96019296741</v>
      </c>
      <c r="I44" s="6" t="s">
        <v>2266</v>
      </c>
      <c r="J44" s="6" t="s">
        <v>54</v>
      </c>
      <c r="K44" s="9" t="s">
        <v>444</v>
      </c>
      <c r="L44" s="9" t="s">
        <v>672</v>
      </c>
    </row>
    <row r="45" customFormat="false" ht="15" hidden="false" customHeight="false" outlineLevel="0" collapsed="false">
      <c r="A45" s="9" t="s">
        <v>395</v>
      </c>
      <c r="B45" s="6" t="s">
        <v>2240</v>
      </c>
      <c r="C45" s="10" t="n">
        <v>551485245</v>
      </c>
      <c r="D45" s="10" t="n">
        <v>532989871</v>
      </c>
      <c r="E45" s="10" t="n">
        <v>1270740</v>
      </c>
      <c r="F45" s="10" t="n">
        <v>17224634</v>
      </c>
      <c r="G45" s="10"/>
      <c r="H45" s="10" t="n">
        <v>73563615</v>
      </c>
      <c r="I45" s="6"/>
      <c r="J45" s="6" t="s">
        <v>54</v>
      </c>
      <c r="K45" s="9" t="s">
        <v>444</v>
      </c>
      <c r="L45" s="9" t="s">
        <v>780</v>
      </c>
    </row>
    <row r="46" customFormat="false" ht="15" hidden="false" customHeight="false" outlineLevel="0" collapsed="false">
      <c r="A46" s="6" t="s">
        <v>49</v>
      </c>
      <c r="B46" s="6" t="s">
        <v>2246</v>
      </c>
      <c r="C46" s="10" t="n">
        <v>5369937</v>
      </c>
      <c r="D46" s="10" t="n">
        <v>4782338</v>
      </c>
      <c r="E46" s="10" t="n">
        <v>187911</v>
      </c>
      <c r="F46" s="10" t="n">
        <v>394723</v>
      </c>
      <c r="G46" s="10" t="n">
        <v>2017841</v>
      </c>
      <c r="H46" s="10"/>
      <c r="I46" s="6" t="s">
        <v>2267</v>
      </c>
      <c r="J46" s="6" t="s">
        <v>54</v>
      </c>
      <c r="K46" s="9" t="s">
        <v>444</v>
      </c>
      <c r="L46" s="9" t="s">
        <v>494</v>
      </c>
    </row>
    <row r="47" customFormat="false" ht="15" hidden="false" customHeight="false" outlineLevel="0" collapsed="false">
      <c r="A47" s="6" t="s">
        <v>290</v>
      </c>
      <c r="B47" s="6" t="s">
        <v>2240</v>
      </c>
      <c r="C47" s="10" t="n">
        <v>583956606</v>
      </c>
      <c r="D47" s="10" t="n">
        <v>579656514</v>
      </c>
      <c r="E47" s="10" t="n">
        <v>0</v>
      </c>
      <c r="F47" s="10" t="n">
        <v>1152770</v>
      </c>
      <c r="G47" s="10" t="n">
        <v>133994650</v>
      </c>
      <c r="H47" s="10" t="n">
        <v>276708028</v>
      </c>
      <c r="I47" s="6" t="s">
        <v>2268</v>
      </c>
      <c r="J47" s="6" t="s">
        <v>54</v>
      </c>
      <c r="K47" s="9" t="s">
        <v>444</v>
      </c>
      <c r="L47" s="9" t="s">
        <v>654</v>
      </c>
    </row>
    <row r="48" customFormat="false" ht="15" hidden="false" customHeight="false" outlineLevel="0" collapsed="false">
      <c r="A48" s="6" t="s">
        <v>348</v>
      </c>
      <c r="B48" s="6" t="s">
        <v>2240</v>
      </c>
      <c r="C48" s="10" t="n">
        <v>248026402</v>
      </c>
      <c r="D48" s="10" t="n">
        <v>230138533</v>
      </c>
      <c r="E48" s="10" t="n">
        <v>6177277</v>
      </c>
      <c r="F48" s="10" t="n">
        <v>11710592</v>
      </c>
      <c r="G48" s="10" t="n">
        <v>6145443</v>
      </c>
      <c r="H48" s="10" t="n">
        <v>75817115</v>
      </c>
      <c r="I48" s="6" t="s">
        <v>2245</v>
      </c>
      <c r="J48" s="6" t="s">
        <v>54</v>
      </c>
      <c r="K48" s="9" t="s">
        <v>444</v>
      </c>
      <c r="L48" s="9" t="s">
        <v>774</v>
      </c>
    </row>
    <row r="49" customFormat="false" ht="15" hidden="false" customHeight="false" outlineLevel="0" collapsed="false">
      <c r="A49" s="9" t="s">
        <v>156</v>
      </c>
      <c r="B49" s="6" t="s">
        <v>2240</v>
      </c>
      <c r="C49" s="10"/>
      <c r="D49" s="10"/>
      <c r="E49" s="10" t="n">
        <v>5007988</v>
      </c>
      <c r="F49" s="10"/>
      <c r="G49" s="10" t="n">
        <v>7086638</v>
      </c>
      <c r="H49" s="10" t="n">
        <v>7216094</v>
      </c>
      <c r="I49" s="6" t="s">
        <v>2252</v>
      </c>
      <c r="J49" s="6" t="s">
        <v>54</v>
      </c>
      <c r="K49" s="9" t="s">
        <v>444</v>
      </c>
      <c r="L49" s="9" t="s">
        <v>840</v>
      </c>
    </row>
    <row r="50" customFormat="false" ht="15" hidden="false" customHeight="false" outlineLevel="0" collapsed="false">
      <c r="A50" s="6" t="s">
        <v>193</v>
      </c>
      <c r="B50" s="6" t="s">
        <v>2240</v>
      </c>
      <c r="C50" s="10" t="n">
        <v>3178977325</v>
      </c>
      <c r="D50" s="10" t="n">
        <v>3117610615</v>
      </c>
      <c r="E50" s="10" t="n">
        <v>12350544</v>
      </c>
      <c r="F50" s="10" t="n">
        <v>49016166</v>
      </c>
      <c r="G50" s="10" t="n">
        <v>120296086</v>
      </c>
      <c r="H50" s="10" t="n">
        <v>1119206212</v>
      </c>
      <c r="I50" s="6" t="s">
        <v>2252</v>
      </c>
      <c r="J50" s="6" t="s">
        <v>54</v>
      </c>
      <c r="K50" s="9" t="s">
        <v>444</v>
      </c>
      <c r="L50" s="9" t="s">
        <v>648</v>
      </c>
    </row>
    <row r="51" customFormat="false" ht="15" hidden="false" customHeight="false" outlineLevel="0" collapsed="false">
      <c r="A51" s="6" t="s">
        <v>345</v>
      </c>
      <c r="B51" s="6" t="s">
        <v>2240</v>
      </c>
      <c r="C51" s="10" t="n">
        <v>2708993753</v>
      </c>
      <c r="D51" s="10" t="n">
        <v>1264930309</v>
      </c>
      <c r="E51" s="10" t="n">
        <v>248032</v>
      </c>
      <c r="F51" s="10" t="n">
        <v>60954105</v>
      </c>
      <c r="G51" s="10" t="n">
        <v>2496914</v>
      </c>
      <c r="H51" s="10"/>
      <c r="I51" s="6" t="s">
        <v>2259</v>
      </c>
      <c r="J51" s="6" t="s">
        <v>54</v>
      </c>
      <c r="K51" s="9" t="s">
        <v>444</v>
      </c>
      <c r="L51" s="9" t="s">
        <v>702</v>
      </c>
    </row>
    <row r="52" customFormat="false" ht="15" hidden="false" customHeight="false" outlineLevel="0" collapsed="false">
      <c r="A52" s="6" t="s">
        <v>61</v>
      </c>
      <c r="B52" s="6" t="s">
        <v>2240</v>
      </c>
      <c r="C52" s="10" t="n">
        <v>920439756</v>
      </c>
      <c r="D52" s="10" t="n">
        <v>581385490</v>
      </c>
      <c r="E52" s="10" t="n">
        <v>25829070</v>
      </c>
      <c r="F52" s="10" t="n">
        <v>313121140</v>
      </c>
      <c r="G52" s="10"/>
      <c r="H52" s="10" t="n">
        <v>296472812</v>
      </c>
      <c r="I52" s="6" t="s">
        <v>2269</v>
      </c>
      <c r="J52" s="6" t="s">
        <v>54</v>
      </c>
      <c r="K52" s="9" t="s">
        <v>444</v>
      </c>
      <c r="L52" s="9" t="s">
        <v>588</v>
      </c>
    </row>
    <row r="53" customFormat="false" ht="15" hidden="false" customHeight="false" outlineLevel="0" collapsed="false">
      <c r="A53" s="6" t="s">
        <v>72</v>
      </c>
      <c r="B53" s="6" t="s">
        <v>2244</v>
      </c>
      <c r="C53" s="10"/>
      <c r="D53" s="10"/>
      <c r="E53" s="10"/>
      <c r="F53" s="10"/>
      <c r="G53" s="10" t="n">
        <v>5462000000</v>
      </c>
      <c r="H53" s="10" t="n">
        <v>17226178865</v>
      </c>
      <c r="I53" s="6" t="s">
        <v>2254</v>
      </c>
      <c r="J53" s="6" t="s">
        <v>54</v>
      </c>
      <c r="K53" s="9" t="s">
        <v>444</v>
      </c>
      <c r="L53" s="9" t="s">
        <v>864</v>
      </c>
    </row>
    <row r="54" customFormat="false" ht="15" hidden="false" customHeight="false" outlineLevel="0" collapsed="false">
      <c r="A54" s="6" t="s">
        <v>335</v>
      </c>
      <c r="B54" s="6" t="s">
        <v>2240</v>
      </c>
      <c r="C54" s="10" t="n">
        <v>198643237</v>
      </c>
      <c r="D54" s="10" t="n">
        <v>118231808</v>
      </c>
      <c r="E54" s="10" t="n">
        <v>8838340</v>
      </c>
      <c r="F54" s="10" t="n">
        <v>71573088</v>
      </c>
      <c r="G54" s="10" t="n">
        <v>106088600</v>
      </c>
      <c r="H54" s="10" t="n">
        <v>12143208</v>
      </c>
      <c r="I54" s="6" t="s">
        <v>2243</v>
      </c>
      <c r="J54" s="6" t="s">
        <v>54</v>
      </c>
      <c r="K54" s="9" t="s">
        <v>444</v>
      </c>
      <c r="L54" s="9" t="s">
        <v>642</v>
      </c>
    </row>
    <row r="55" customFormat="false" ht="15" hidden="false" customHeight="false" outlineLevel="0" collapsed="false">
      <c r="A55" s="6" t="s">
        <v>114</v>
      </c>
      <c r="B55" s="6" t="s">
        <v>2240</v>
      </c>
      <c r="C55" s="10"/>
      <c r="D55" s="10"/>
      <c r="E55" s="10"/>
      <c r="F55" s="10" t="n">
        <v>702300</v>
      </c>
      <c r="G55" s="10" t="n">
        <v>10133674</v>
      </c>
      <c r="H55" s="10" t="n">
        <v>22776707</v>
      </c>
      <c r="I55" s="6" t="s">
        <v>2248</v>
      </c>
      <c r="J55" s="6" t="s">
        <v>54</v>
      </c>
      <c r="K55" s="9" t="s">
        <v>444</v>
      </c>
      <c r="L55" s="9" t="s">
        <v>816</v>
      </c>
    </row>
    <row r="56" customFormat="false" ht="15" hidden="false" customHeight="false" outlineLevel="0" collapsed="false">
      <c r="A56" s="6" t="s">
        <v>380</v>
      </c>
      <c r="B56" s="6" t="s">
        <v>2244</v>
      </c>
      <c r="C56" s="10" t="n">
        <v>157528271114</v>
      </c>
      <c r="D56" s="10" t="n">
        <v>154984418144</v>
      </c>
      <c r="E56" s="10" t="n">
        <v>34864470</v>
      </c>
      <c r="F56" s="10" t="n">
        <v>2508988500</v>
      </c>
      <c r="G56" s="10" t="n">
        <v>66570576964</v>
      </c>
      <c r="H56" s="10" t="n">
        <v>42167522083</v>
      </c>
      <c r="I56" s="6" t="s">
        <v>2243</v>
      </c>
      <c r="J56" s="9" t="s">
        <v>124</v>
      </c>
      <c r="K56" s="9" t="s">
        <v>444</v>
      </c>
      <c r="L56" s="9" t="s">
        <v>696</v>
      </c>
    </row>
    <row r="57" customFormat="false" ht="15" hidden="false" customHeight="false" outlineLevel="0" collapsed="false">
      <c r="A57" s="6" t="s">
        <v>387</v>
      </c>
      <c r="B57" s="6" t="s">
        <v>2244</v>
      </c>
      <c r="C57" s="10"/>
      <c r="D57" s="10"/>
      <c r="E57" s="10" t="n">
        <v>1786978600</v>
      </c>
      <c r="F57" s="10"/>
      <c r="G57" s="10" t="n">
        <v>841181084</v>
      </c>
      <c r="H57" s="10" t="n">
        <v>130518951604</v>
      </c>
      <c r="I57" s="6" t="s">
        <v>2243</v>
      </c>
      <c r="J57" s="6" t="s">
        <v>54</v>
      </c>
      <c r="K57" s="9" t="s">
        <v>444</v>
      </c>
      <c r="L57" s="9" t="s">
        <v>918</v>
      </c>
    </row>
    <row r="58" customFormat="false" ht="15" hidden="false" customHeight="false" outlineLevel="0" collapsed="false">
      <c r="A58" s="6" t="s">
        <v>365</v>
      </c>
      <c r="B58" s="6" t="s">
        <v>2240</v>
      </c>
      <c r="C58" s="10"/>
      <c r="D58" s="10"/>
      <c r="E58" s="10"/>
      <c r="F58" s="10"/>
      <c r="G58" s="10" t="n">
        <v>106020898</v>
      </c>
      <c r="H58" s="10" t="n">
        <v>38350540</v>
      </c>
      <c r="I58" s="6" t="s">
        <v>2270</v>
      </c>
      <c r="J58" s="6" t="s">
        <v>54</v>
      </c>
      <c r="K58" s="9" t="s">
        <v>444</v>
      </c>
      <c r="L58" s="9" t="s">
        <v>660</v>
      </c>
    </row>
    <row r="59" customFormat="false" ht="15" hidden="false" customHeight="false" outlineLevel="0" collapsed="false">
      <c r="A59" s="6" t="s">
        <v>85</v>
      </c>
      <c r="B59" s="6" t="s">
        <v>2244</v>
      </c>
      <c r="C59" s="10" t="n">
        <v>107154472096</v>
      </c>
      <c r="D59" s="10" t="n">
        <v>105571935552</v>
      </c>
      <c r="E59" s="10"/>
      <c r="F59" s="10" t="n">
        <v>1582536544</v>
      </c>
      <c r="G59" s="10" t="n">
        <v>1720000000</v>
      </c>
      <c r="H59" s="10" t="n">
        <v>23806156178</v>
      </c>
      <c r="I59" s="6" t="s">
        <v>2248</v>
      </c>
      <c r="J59" s="6" t="s">
        <v>54</v>
      </c>
      <c r="K59" s="9" t="s">
        <v>444</v>
      </c>
      <c r="L59" s="9" t="s">
        <v>876</v>
      </c>
    </row>
    <row r="60" customFormat="false" ht="15" hidden="false" customHeight="false" outlineLevel="0" collapsed="false">
      <c r="A60" s="6" t="s">
        <v>247</v>
      </c>
      <c r="B60" s="6" t="s">
        <v>2246</v>
      </c>
      <c r="C60" s="10" t="n">
        <v>1579393</v>
      </c>
      <c r="D60" s="10" t="n">
        <v>1099325</v>
      </c>
      <c r="E60" s="10" t="n">
        <v>717</v>
      </c>
      <c r="F60" s="10" t="n">
        <v>469654</v>
      </c>
      <c r="G60" s="10" t="n">
        <v>138777</v>
      </c>
      <c r="H60" s="10" t="n">
        <v>524558</v>
      </c>
      <c r="I60" s="6" t="s">
        <v>2271</v>
      </c>
      <c r="J60" s="6" t="s">
        <v>54</v>
      </c>
      <c r="K60" s="9" t="s">
        <v>444</v>
      </c>
      <c r="L60" s="9" t="s">
        <v>552</v>
      </c>
    </row>
    <row r="61" customFormat="false" ht="15" hidden="false" customHeight="false" outlineLevel="0" collapsed="false">
      <c r="A61" s="6" t="s">
        <v>377</v>
      </c>
      <c r="B61" s="6" t="s">
        <v>2240</v>
      </c>
      <c r="C61" s="10" t="n">
        <v>953450239</v>
      </c>
      <c r="D61" s="10" t="n">
        <v>868366032</v>
      </c>
      <c r="E61" s="10" t="n">
        <v>24524544</v>
      </c>
      <c r="F61" s="10" t="n">
        <v>60559663</v>
      </c>
      <c r="G61" s="10" t="n">
        <v>15771958</v>
      </c>
      <c r="H61" s="10" t="n">
        <v>478878904</v>
      </c>
      <c r="I61" s="6" t="s">
        <v>2268</v>
      </c>
      <c r="J61" s="6" t="s">
        <v>54</v>
      </c>
      <c r="K61" s="9" t="s">
        <v>444</v>
      </c>
      <c r="L61" s="9" t="s">
        <v>684</v>
      </c>
    </row>
    <row r="62" customFormat="false" ht="15" hidden="false" customHeight="false" outlineLevel="0" collapsed="false">
      <c r="A62" s="6" t="s">
        <v>231</v>
      </c>
      <c r="B62" s="6" t="s">
        <v>2240</v>
      </c>
      <c r="C62" s="10" t="n">
        <v>5241848026</v>
      </c>
      <c r="D62" s="10" t="n">
        <v>2239463022</v>
      </c>
      <c r="E62" s="10" t="n">
        <v>197197414</v>
      </c>
      <c r="F62" s="10" t="n">
        <v>2771628277</v>
      </c>
      <c r="G62" s="10" t="n">
        <v>304020405</v>
      </c>
      <c r="H62" s="10" t="n">
        <v>596725776</v>
      </c>
      <c r="I62" s="6" t="s">
        <v>2272</v>
      </c>
      <c r="J62" s="9" t="s">
        <v>124</v>
      </c>
      <c r="K62" s="9" t="s">
        <v>444</v>
      </c>
      <c r="L62" s="9" t="s">
        <v>488</v>
      </c>
    </row>
    <row r="63" customFormat="false" ht="15" hidden="false" customHeight="false" outlineLevel="0" collapsed="false">
      <c r="A63" s="6" t="s">
        <v>266</v>
      </c>
      <c r="B63" s="6" t="s">
        <v>2240</v>
      </c>
      <c r="C63" s="10" t="n">
        <v>681567871</v>
      </c>
      <c r="D63" s="10" t="n">
        <v>665767893</v>
      </c>
      <c r="E63" s="10" t="n">
        <v>4582030</v>
      </c>
      <c r="F63" s="10" t="n">
        <v>11217948</v>
      </c>
      <c r="G63" s="10" t="n">
        <v>207025317</v>
      </c>
      <c r="H63" s="10" t="n">
        <v>108273819</v>
      </c>
      <c r="I63" s="6" t="s">
        <v>2261</v>
      </c>
      <c r="J63" s="6" t="s">
        <v>54</v>
      </c>
      <c r="K63" s="9" t="s">
        <v>444</v>
      </c>
      <c r="L63" s="9" t="s">
        <v>630</v>
      </c>
    </row>
    <row r="64" customFormat="false" ht="15" hidden="false" customHeight="false" outlineLevel="0" collapsed="false">
      <c r="A64" s="6" t="s">
        <v>352</v>
      </c>
      <c r="B64" s="6" t="s">
        <v>2240</v>
      </c>
      <c r="C64" s="10" t="n">
        <v>314307909</v>
      </c>
      <c r="D64" s="10" t="n">
        <v>308821036</v>
      </c>
      <c r="E64" s="10" t="n">
        <v>790193</v>
      </c>
      <c r="F64" s="10" t="n">
        <v>5486873</v>
      </c>
      <c r="G64" s="10" t="n">
        <v>5486874</v>
      </c>
      <c r="H64" s="10" t="n">
        <v>32068809</v>
      </c>
      <c r="I64" s="6" t="s">
        <v>2248</v>
      </c>
      <c r="J64" s="6" t="s">
        <v>54</v>
      </c>
      <c r="K64" s="9" t="s">
        <v>444</v>
      </c>
      <c r="L64" s="9" t="s">
        <v>810</v>
      </c>
    </row>
    <row r="65" customFormat="false" ht="15" hidden="false" customHeight="false" outlineLevel="0" collapsed="false">
      <c r="A65" s="6" t="s">
        <v>269</v>
      </c>
      <c r="B65" s="6" t="s">
        <v>2240</v>
      </c>
      <c r="C65" s="10" t="n">
        <v>535531188</v>
      </c>
      <c r="D65" s="10" t="n">
        <v>504856437</v>
      </c>
      <c r="E65" s="10" t="n">
        <v>25834828</v>
      </c>
      <c r="F65" s="10" t="n">
        <v>4839923</v>
      </c>
      <c r="G65" s="10" t="n">
        <v>394450204</v>
      </c>
      <c r="H65" s="10" t="n">
        <v>98649999</v>
      </c>
      <c r="I65" s="6" t="s">
        <v>2248</v>
      </c>
      <c r="J65" s="6" t="s">
        <v>54</v>
      </c>
      <c r="K65" s="9" t="s">
        <v>444</v>
      </c>
      <c r="L65" s="9" t="s">
        <v>576</v>
      </c>
    </row>
    <row r="66" customFormat="false" ht="15" hidden="false" customHeight="false" outlineLevel="0" collapsed="false">
      <c r="A66" s="6" t="s">
        <v>356</v>
      </c>
      <c r="B66" s="6" t="s">
        <v>2246</v>
      </c>
      <c r="C66" s="10" t="n">
        <v>8288408</v>
      </c>
      <c r="D66" s="10" t="n">
        <v>4905875</v>
      </c>
      <c r="E66" s="10" t="n">
        <v>1979013</v>
      </c>
      <c r="F66" s="10" t="n">
        <v>1226373</v>
      </c>
      <c r="G66" s="10" t="n">
        <v>827989</v>
      </c>
      <c r="H66" s="10" t="n">
        <v>1303365</v>
      </c>
      <c r="I66" s="6" t="s">
        <v>2243</v>
      </c>
      <c r="J66" s="6" t="s">
        <v>54</v>
      </c>
      <c r="K66" s="9" t="s">
        <v>444</v>
      </c>
      <c r="L66" s="9" t="s">
        <v>500</v>
      </c>
    </row>
    <row r="67" customFormat="false" ht="15" hidden="false" customHeight="false" outlineLevel="0" collapsed="false">
      <c r="A67" s="6" t="s">
        <v>293</v>
      </c>
      <c r="B67" s="6" t="s">
        <v>2240</v>
      </c>
      <c r="C67" s="10"/>
      <c r="D67" s="10"/>
      <c r="E67" s="10"/>
      <c r="F67" s="10"/>
      <c r="G67" s="10" t="n">
        <v>328313770</v>
      </c>
      <c r="H67" s="10" t="n">
        <v>209698099</v>
      </c>
      <c r="I67" s="6" t="s">
        <v>2263</v>
      </c>
      <c r="J67" s="6" t="s">
        <v>54</v>
      </c>
      <c r="K67" s="9" t="s">
        <v>444</v>
      </c>
      <c r="L67" s="9" t="s">
        <v>582</v>
      </c>
    </row>
    <row r="68" customFormat="false" ht="15" hidden="false" customHeight="false" outlineLevel="0" collapsed="false">
      <c r="A68" s="6" t="s">
        <v>304</v>
      </c>
      <c r="B68" s="6" t="s">
        <v>2244</v>
      </c>
      <c r="C68" s="10" t="n">
        <v>266181132897</v>
      </c>
      <c r="D68" s="10" t="n">
        <v>197192161672</v>
      </c>
      <c r="E68" s="10" t="n">
        <v>3017307000</v>
      </c>
      <c r="F68" s="10" t="n">
        <v>65971224225</v>
      </c>
      <c r="G68" s="10" t="n">
        <v>161412477725</v>
      </c>
      <c r="H68" s="10" t="n">
        <v>31037776879</v>
      </c>
      <c r="I68" s="6" t="s">
        <v>2273</v>
      </c>
      <c r="J68" s="9" t="s">
        <v>124</v>
      </c>
      <c r="K68" s="9" t="s">
        <v>444</v>
      </c>
      <c r="L68" s="9" t="s">
        <v>618</v>
      </c>
    </row>
    <row r="69" customFormat="false" ht="15" hidden="false" customHeight="false" outlineLevel="0" collapsed="false">
      <c r="A69" s="6" t="s">
        <v>423</v>
      </c>
      <c r="B69" s="6" t="s">
        <v>2244</v>
      </c>
      <c r="C69" s="10"/>
      <c r="D69" s="10"/>
      <c r="E69" s="10"/>
      <c r="F69" s="10"/>
      <c r="G69" s="10" t="n">
        <v>274361663024</v>
      </c>
      <c r="H69" s="10"/>
      <c r="I69" s="6" t="s">
        <v>2263</v>
      </c>
      <c r="J69" s="9" t="s">
        <v>124</v>
      </c>
      <c r="K69" s="9" t="s">
        <v>444</v>
      </c>
      <c r="L69" s="9" t="s">
        <v>600</v>
      </c>
    </row>
    <row r="70" customFormat="false" ht="15" hidden="false" customHeight="false" outlineLevel="0" collapsed="false">
      <c r="A70" s="6" t="s">
        <v>315</v>
      </c>
      <c r="B70" s="6" t="s">
        <v>2240</v>
      </c>
      <c r="C70" s="10" t="n">
        <v>299510748</v>
      </c>
      <c r="D70" s="10" t="n">
        <v>288626989</v>
      </c>
      <c r="E70" s="10" t="n">
        <v>0</v>
      </c>
      <c r="F70" s="10" t="n">
        <v>10883759</v>
      </c>
      <c r="G70" s="10" t="n">
        <v>169633622</v>
      </c>
      <c r="H70" s="10" t="n">
        <v>37521304</v>
      </c>
      <c r="I70" s="6" t="s">
        <v>2254</v>
      </c>
      <c r="J70" s="6" t="s">
        <v>54</v>
      </c>
      <c r="K70" s="9" t="s">
        <v>444</v>
      </c>
      <c r="L70" s="9" t="s">
        <v>636</v>
      </c>
    </row>
    <row r="71" customFormat="false" ht="15" hidden="false" customHeight="false" outlineLevel="0" collapsed="false">
      <c r="A71" s="6" t="s">
        <v>150</v>
      </c>
      <c r="B71" s="6" t="s">
        <v>2240</v>
      </c>
      <c r="C71" s="10" t="n">
        <v>35413704</v>
      </c>
      <c r="D71" s="10"/>
      <c r="E71" s="10"/>
      <c r="F71" s="10"/>
      <c r="G71" s="10" t="n">
        <v>6055249</v>
      </c>
      <c r="H71" s="10" t="n">
        <v>18796088</v>
      </c>
      <c r="I71" s="6" t="s">
        <v>2266</v>
      </c>
      <c r="J71" s="6" t="s">
        <v>54</v>
      </c>
      <c r="K71" s="9" t="s">
        <v>444</v>
      </c>
      <c r="L71" s="9" t="s">
        <v>858</v>
      </c>
    </row>
    <row r="72" customFormat="false" ht="15" hidden="false" customHeight="false" outlineLevel="0" collapsed="false">
      <c r="A72" s="6" t="s">
        <v>160</v>
      </c>
      <c r="B72" s="6" t="s">
        <v>2240</v>
      </c>
      <c r="C72" s="10" t="n">
        <v>10942088</v>
      </c>
      <c r="D72" s="10" t="n">
        <v>4840187</v>
      </c>
      <c r="E72" s="10"/>
      <c r="F72" s="10" t="n">
        <v>6101901</v>
      </c>
      <c r="G72" s="10" t="n">
        <v>1189249</v>
      </c>
      <c r="H72" s="10" t="n">
        <v>366427</v>
      </c>
      <c r="I72" s="6" t="s">
        <v>2258</v>
      </c>
      <c r="J72" s="6" t="s">
        <v>54</v>
      </c>
      <c r="K72" s="9" t="s">
        <v>444</v>
      </c>
      <c r="L72" s="9" t="s">
        <v>834</v>
      </c>
    </row>
    <row r="73" customFormat="false" ht="15" hidden="false" customHeight="false" outlineLevel="0" collapsed="false">
      <c r="A73" s="9" t="s">
        <v>414</v>
      </c>
      <c r="B73" s="6" t="s">
        <v>2240</v>
      </c>
      <c r="C73" s="10" t="n">
        <v>216833255</v>
      </c>
      <c r="D73" s="10" t="n">
        <v>207885046</v>
      </c>
      <c r="E73" s="10" t="n">
        <v>1948489</v>
      </c>
      <c r="F73" s="10" t="n">
        <v>6999720</v>
      </c>
      <c r="G73" s="10" t="n">
        <v>11102</v>
      </c>
      <c r="H73" s="10"/>
      <c r="I73" s="6" t="s">
        <v>2245</v>
      </c>
      <c r="J73" s="6" t="s">
        <v>54</v>
      </c>
      <c r="K73" s="9" t="s">
        <v>444</v>
      </c>
      <c r="L73" s="9" t="s">
        <v>846</v>
      </c>
    </row>
    <row r="74" customFormat="false" ht="15" hidden="false" customHeight="false" outlineLevel="0" collapsed="false">
      <c r="A74" s="6" t="s">
        <v>277</v>
      </c>
      <c r="B74" s="6" t="s">
        <v>2244</v>
      </c>
      <c r="C74" s="10" t="n">
        <v>673991191856</v>
      </c>
      <c r="D74" s="10" t="n">
        <v>663864359109</v>
      </c>
      <c r="E74" s="10" t="n">
        <v>10126132747</v>
      </c>
      <c r="F74" s="10" t="n">
        <v>0</v>
      </c>
      <c r="G74" s="10" t="n">
        <v>16773995773</v>
      </c>
      <c r="H74" s="10" t="n">
        <v>53984334079</v>
      </c>
      <c r="I74" s="6" t="s">
        <v>2248</v>
      </c>
      <c r="J74" s="6" t="s">
        <v>54</v>
      </c>
      <c r="K74" s="9" t="s">
        <v>444</v>
      </c>
      <c r="L74" s="9" t="s">
        <v>786</v>
      </c>
    </row>
    <row r="75" customFormat="false" ht="15" hidden="false" customHeight="false" outlineLevel="0" collapsed="false">
      <c r="A75" s="6" t="s">
        <v>359</v>
      </c>
      <c r="B75" s="6" t="s">
        <v>2240</v>
      </c>
      <c r="C75" s="10" t="n">
        <v>615935030</v>
      </c>
      <c r="D75" s="10"/>
      <c r="E75" s="10"/>
      <c r="F75" s="10"/>
      <c r="G75" s="10" t="n">
        <v>218701804</v>
      </c>
      <c r="H75" s="10"/>
      <c r="I75" s="6" t="s">
        <v>2254</v>
      </c>
      <c r="J75" s="6" t="s">
        <v>54</v>
      </c>
      <c r="K75" s="9" t="s">
        <v>444</v>
      </c>
      <c r="L75" s="9" t="s">
        <v>624</v>
      </c>
    </row>
    <row r="76" customFormat="false" ht="15" hidden="false" customHeight="false" outlineLevel="0" collapsed="false">
      <c r="A76" s="6" t="s">
        <v>239</v>
      </c>
      <c r="B76" s="6" t="s">
        <v>2240</v>
      </c>
      <c r="C76" s="10" t="n">
        <v>715568160</v>
      </c>
      <c r="D76" s="10" t="n">
        <v>697136745</v>
      </c>
      <c r="E76" s="10" t="n">
        <v>0</v>
      </c>
      <c r="F76" s="10" t="n">
        <v>17217643</v>
      </c>
      <c r="G76" s="10" t="n">
        <v>27096365</v>
      </c>
      <c r="H76" s="10" t="n">
        <v>518548124</v>
      </c>
      <c r="I76" s="6" t="s">
        <v>2248</v>
      </c>
      <c r="J76" s="6" t="s">
        <v>54</v>
      </c>
      <c r="K76" s="9" t="s">
        <v>444</v>
      </c>
      <c r="L76" s="9" t="s">
        <v>732</v>
      </c>
    </row>
    <row r="77" customFormat="false" ht="15" hidden="false" customHeight="false" outlineLevel="0" collapsed="false">
      <c r="A77" s="6" t="s">
        <v>384</v>
      </c>
      <c r="B77" s="6" t="s">
        <v>2240</v>
      </c>
      <c r="C77" s="10" t="n">
        <v>140113264</v>
      </c>
      <c r="D77" s="10" t="n">
        <v>70576833</v>
      </c>
      <c r="E77" s="10"/>
      <c r="F77" s="10" t="n">
        <v>69536431</v>
      </c>
      <c r="G77" s="10"/>
      <c r="H77" s="10" t="n">
        <v>30887981</v>
      </c>
      <c r="I77" s="6"/>
      <c r="J77" s="6" t="s">
        <v>54</v>
      </c>
      <c r="K77" s="9" t="s">
        <v>444</v>
      </c>
      <c r="L77" s="9" t="s">
        <v>690</v>
      </c>
    </row>
    <row r="78" customFormat="false" ht="15" hidden="false" customHeight="false" outlineLevel="0" collapsed="false">
      <c r="A78" s="6" t="s">
        <v>250</v>
      </c>
      <c r="B78" s="6" t="s">
        <v>2240</v>
      </c>
      <c r="C78" s="10" t="n">
        <v>2493743385</v>
      </c>
      <c r="D78" s="10" t="n">
        <v>2132944007</v>
      </c>
      <c r="E78" s="10" t="n">
        <v>303072859</v>
      </c>
      <c r="F78" s="10" t="n">
        <v>57033836</v>
      </c>
      <c r="G78" s="10" t="n">
        <v>1314471520</v>
      </c>
      <c r="H78" s="10" t="n">
        <v>534914956</v>
      </c>
      <c r="I78" s="6" t="s">
        <v>2248</v>
      </c>
      <c r="J78" s="6" t="s">
        <v>54</v>
      </c>
      <c r="K78" s="9" t="s">
        <v>444</v>
      </c>
      <c r="L78" s="9" t="s">
        <v>523</v>
      </c>
    </row>
    <row r="79" customFormat="false" ht="15" hidden="false" customHeight="false" outlineLevel="0" collapsed="false">
      <c r="A79" s="9" t="s">
        <v>407</v>
      </c>
      <c r="B79" s="6" t="s">
        <v>2246</v>
      </c>
      <c r="C79" s="10" t="n">
        <v>3455950</v>
      </c>
      <c r="D79" s="10" t="n">
        <v>3339663</v>
      </c>
      <c r="E79" s="10"/>
      <c r="F79" s="10" t="n">
        <v>116287</v>
      </c>
      <c r="G79" s="10" t="n">
        <v>114062</v>
      </c>
      <c r="H79" s="10" t="n">
        <v>884035</v>
      </c>
      <c r="I79" s="6" t="s">
        <v>2254</v>
      </c>
      <c r="J79" s="6" t="s">
        <v>54</v>
      </c>
      <c r="K79" s="9" t="s">
        <v>444</v>
      </c>
      <c r="L79" s="9" t="s">
        <v>612</v>
      </c>
    </row>
    <row r="80" customFormat="false" ht="15" hidden="false" customHeight="false" outlineLevel="0" collapsed="false">
      <c r="A80" s="9" t="s">
        <v>325</v>
      </c>
      <c r="B80" s="6" t="s">
        <v>2240</v>
      </c>
      <c r="C80" s="10" t="n">
        <v>1275797206</v>
      </c>
      <c r="D80" s="10" t="n">
        <v>539579744</v>
      </c>
      <c r="E80" s="10" t="n">
        <v>14559349</v>
      </c>
      <c r="F80" s="10" t="n">
        <v>721658113</v>
      </c>
      <c r="G80" s="10" t="n">
        <v>800748039</v>
      </c>
      <c r="H80" s="10"/>
      <c r="I80" s="6" t="s">
        <v>2241</v>
      </c>
      <c r="J80" s="6" t="s">
        <v>54</v>
      </c>
      <c r="K80" s="9" t="s">
        <v>444</v>
      </c>
      <c r="L80" s="9" t="s">
        <v>513</v>
      </c>
    </row>
    <row r="81" customFormat="false" ht="15" hidden="false" customHeight="false" outlineLevel="0" collapsed="false">
      <c r="A81" s="6" t="s">
        <v>322</v>
      </c>
      <c r="B81" s="6" t="s">
        <v>2240</v>
      </c>
      <c r="C81" s="10" t="n">
        <v>160454968</v>
      </c>
      <c r="D81" s="10"/>
      <c r="E81" s="10"/>
      <c r="F81" s="10"/>
      <c r="G81" s="10" t="n">
        <v>48568612</v>
      </c>
      <c r="H81" s="10" t="n">
        <v>35736728</v>
      </c>
      <c r="I81" s="6" t="s">
        <v>2274</v>
      </c>
      <c r="J81" s="6" t="s">
        <v>54</v>
      </c>
      <c r="K81" s="9" t="s">
        <v>444</v>
      </c>
      <c r="L81" s="9" t="s">
        <v>720</v>
      </c>
    </row>
    <row r="82" customFormat="false" ht="15" hidden="false" customHeight="false" outlineLevel="0" collapsed="false">
      <c r="A82" s="6" t="s">
        <v>328</v>
      </c>
      <c r="B82" s="6" t="s">
        <v>2240</v>
      </c>
      <c r="C82" s="10" t="n">
        <v>121897559</v>
      </c>
      <c r="D82" s="10" t="n">
        <v>105622297</v>
      </c>
      <c r="E82" s="10" t="n">
        <v>0</v>
      </c>
      <c r="F82" s="10" t="n">
        <v>16275262</v>
      </c>
      <c r="G82" s="10" t="n">
        <v>8756530</v>
      </c>
      <c r="H82" s="10" t="n">
        <v>36118711</v>
      </c>
      <c r="I82" s="6" t="s">
        <v>2275</v>
      </c>
      <c r="J82" s="6" t="s">
        <v>54</v>
      </c>
      <c r="K82" s="9" t="s">
        <v>444</v>
      </c>
      <c r="L82" s="9" t="s">
        <v>762</v>
      </c>
    </row>
    <row r="83" customFormat="false" ht="15" hidden="false" customHeight="false" outlineLevel="0" collapsed="false">
      <c r="A83" s="6" t="s">
        <v>308</v>
      </c>
      <c r="B83" s="6" t="s">
        <v>2240</v>
      </c>
      <c r="C83" s="10" t="n">
        <v>171720311</v>
      </c>
      <c r="D83" s="10" t="n">
        <v>171620831</v>
      </c>
      <c r="E83" s="10" t="n">
        <v>0</v>
      </c>
      <c r="F83" s="10" t="n">
        <v>99480</v>
      </c>
      <c r="G83" s="10" t="n">
        <v>29094723</v>
      </c>
      <c r="H83" s="10" t="n">
        <v>100992795</v>
      </c>
      <c r="I83" s="6" t="s">
        <v>2248</v>
      </c>
      <c r="J83" s="9" t="s">
        <v>124</v>
      </c>
      <c r="K83" s="9" t="s">
        <v>444</v>
      </c>
      <c r="L83" s="9" t="s">
        <v>750</v>
      </c>
    </row>
    <row r="84" customFormat="false" ht="15" hidden="false" customHeight="false" outlineLevel="0" collapsed="false">
      <c r="A84" s="6" t="s">
        <v>374</v>
      </c>
      <c r="B84" s="6" t="s">
        <v>2240</v>
      </c>
      <c r="C84" s="10" t="n">
        <v>75309866</v>
      </c>
      <c r="D84" s="10" t="n">
        <v>74856227</v>
      </c>
      <c r="E84" s="10" t="n">
        <v>0</v>
      </c>
      <c r="F84" s="10" t="n">
        <v>453639</v>
      </c>
      <c r="G84" s="10" t="n">
        <v>550236</v>
      </c>
      <c r="H84" s="10"/>
      <c r="I84" s="6" t="s">
        <v>2243</v>
      </c>
      <c r="J84" s="6" t="s">
        <v>54</v>
      </c>
      <c r="K84" s="9" t="s">
        <v>444</v>
      </c>
      <c r="L84" s="9" t="s">
        <v>912</v>
      </c>
    </row>
  </sheetData>
  <autoFilter ref="A4:L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6.68"/>
    <col collapsed="false" customWidth="true" hidden="false" outlineLevel="0" max="3" min="3" style="0" width="15.02"/>
    <col collapsed="false" customWidth="true" hidden="false" outlineLevel="0" max="5" min="4" style="0" width="13.35"/>
    <col collapsed="false" customWidth="true" hidden="false" outlineLevel="0" max="6" min="6" style="0" width="9.18"/>
    <col collapsed="false" customWidth="true" hidden="false" outlineLevel="0" max="8" min="7" style="0" width="13.35"/>
    <col collapsed="false" customWidth="true" hidden="false" outlineLevel="0" max="9" min="9" style="0" width="10.85"/>
    <col collapsed="false" customWidth="true" hidden="false" outlineLevel="0" max="10" min="10" style="0" width="12.52"/>
    <col collapsed="false" customWidth="true" hidden="false" outlineLevel="0" max="11" min="11" style="0" width="14.19"/>
    <col collapsed="false" customWidth="true" hidden="false" outlineLevel="0" max="12" min="12" style="0" width="8.35"/>
    <col collapsed="false" customWidth="true" hidden="false" outlineLevel="0" max="13" min="13" style="0" width="16.69"/>
    <col collapsed="false" customWidth="true" hidden="false" outlineLevel="0" max="14" min="14" style="0" width="18.36"/>
    <col collapsed="false" customWidth="true" hidden="false" outlineLevel="0" max="15" min="15" style="0" width="9.18"/>
    <col collapsed="false" customWidth="true" hidden="false" outlineLevel="0" max="16" min="16" style="0" width="13.35"/>
  </cols>
  <sheetData>
    <row r="1" customFormat="false" ht="17.35" hidden="false" customHeight="false" outlineLevel="0" collapsed="false">
      <c r="A1" s="1" t="s">
        <v>2276</v>
      </c>
    </row>
    <row r="2" customFormat="false" ht="15" hidden="false" customHeight="false" outlineLevel="0" collapsed="false">
      <c r="A2" s="2" t="s">
        <v>2277</v>
      </c>
    </row>
    <row r="4" customFormat="false" ht="30" hidden="false" customHeight="true" outlineLevel="0" collapsed="false">
      <c r="A4" s="5" t="s">
        <v>38</v>
      </c>
      <c r="B4" s="5" t="s">
        <v>2231</v>
      </c>
      <c r="C4" s="5" t="s">
        <v>2278</v>
      </c>
      <c r="D4" s="5" t="s">
        <v>2279</v>
      </c>
      <c r="E4" s="5" t="s">
        <v>2280</v>
      </c>
      <c r="F4" s="5" t="s">
        <v>2281</v>
      </c>
      <c r="G4" s="5" t="s">
        <v>2282</v>
      </c>
      <c r="H4" s="5" t="s">
        <v>2283</v>
      </c>
      <c r="I4" s="5" t="s">
        <v>2284</v>
      </c>
      <c r="J4" s="5" t="s">
        <v>2285</v>
      </c>
      <c r="K4" s="5" t="s">
        <v>2286</v>
      </c>
      <c r="L4" s="5" t="s">
        <v>2287</v>
      </c>
      <c r="M4" s="5" t="s">
        <v>2288</v>
      </c>
      <c r="N4" s="5" t="s">
        <v>2239</v>
      </c>
      <c r="O4" s="5" t="s">
        <v>2</v>
      </c>
      <c r="P4" s="5" t="s">
        <v>437</v>
      </c>
    </row>
    <row r="5" customFormat="false" ht="15" hidden="false" customHeight="false" outlineLevel="0" collapsed="false">
      <c r="A5" s="6" t="s">
        <v>142</v>
      </c>
      <c r="B5" s="6" t="s">
        <v>2240</v>
      </c>
      <c r="C5" s="10" t="n">
        <v>4108549</v>
      </c>
      <c r="D5" s="10" t="n">
        <v>4227176</v>
      </c>
      <c r="E5" s="10" t="n">
        <v>-118627</v>
      </c>
      <c r="F5" s="14" t="n">
        <v>102.9</v>
      </c>
      <c r="G5" s="10"/>
      <c r="H5" s="10"/>
      <c r="I5" s="10"/>
      <c r="J5" s="10"/>
      <c r="K5" s="10"/>
      <c r="L5" s="9" t="s">
        <v>2289</v>
      </c>
      <c r="M5" s="6"/>
      <c r="N5" s="6" t="s">
        <v>54</v>
      </c>
      <c r="O5" s="9" t="s">
        <v>444</v>
      </c>
      <c r="P5" s="9" t="s">
        <v>756</v>
      </c>
    </row>
    <row r="6" customFormat="false" ht="15" hidden="false" customHeight="false" outlineLevel="0" collapsed="false">
      <c r="A6" s="6" t="s">
        <v>208</v>
      </c>
      <c r="B6" s="6" t="s">
        <v>2240</v>
      </c>
      <c r="C6" s="10" t="n">
        <v>404955666</v>
      </c>
      <c r="D6" s="10" t="n">
        <v>448474499</v>
      </c>
      <c r="E6" s="10" t="n">
        <v>-43518833</v>
      </c>
      <c r="F6" s="14" t="n">
        <v>110.7</v>
      </c>
      <c r="G6" s="10" t="n">
        <v>448350833</v>
      </c>
      <c r="H6" s="10" t="n">
        <v>0</v>
      </c>
      <c r="I6" s="10" t="n">
        <v>123666</v>
      </c>
      <c r="J6" s="10" t="n">
        <v>61222479</v>
      </c>
      <c r="K6" s="10" t="n">
        <v>39955176</v>
      </c>
      <c r="L6" s="9" t="s">
        <v>2290</v>
      </c>
      <c r="M6" s="6"/>
      <c r="N6" s="9" t="s">
        <v>124</v>
      </c>
      <c r="O6" s="9" t="s">
        <v>444</v>
      </c>
      <c r="P6" s="9" t="s">
        <v>517</v>
      </c>
    </row>
    <row r="7" customFormat="false" ht="15" hidden="false" customHeight="false" outlineLevel="0" collapsed="false">
      <c r="A7" s="6" t="s">
        <v>121</v>
      </c>
      <c r="B7" s="6" t="s">
        <v>2240</v>
      </c>
      <c r="C7" s="10" t="n">
        <v>19686397</v>
      </c>
      <c r="D7" s="10" t="n">
        <v>21415737</v>
      </c>
      <c r="E7" s="10" t="n">
        <v>-1729340</v>
      </c>
      <c r="F7" s="14" t="n">
        <v>108.8</v>
      </c>
      <c r="G7" s="10"/>
      <c r="H7" s="10"/>
      <c r="I7" s="10"/>
      <c r="J7" s="10"/>
      <c r="K7" s="10"/>
      <c r="L7" s="9" t="s">
        <v>2289</v>
      </c>
      <c r="M7" s="6"/>
      <c r="N7" s="9" t="s">
        <v>124</v>
      </c>
      <c r="O7" s="9" t="s">
        <v>444</v>
      </c>
      <c r="P7" s="9" t="s">
        <v>822</v>
      </c>
    </row>
    <row r="8" customFormat="false" ht="15" hidden="false" customHeight="false" outlineLevel="0" collapsed="false">
      <c r="A8" s="6" t="s">
        <v>110</v>
      </c>
      <c r="B8" s="6" t="s">
        <v>2244</v>
      </c>
      <c r="C8" s="10" t="n">
        <v>13260894709</v>
      </c>
      <c r="D8" s="10" t="n">
        <v>13463747110</v>
      </c>
      <c r="E8" s="10" t="n">
        <v>-202852401</v>
      </c>
      <c r="F8" s="14" t="n">
        <v>101.5</v>
      </c>
      <c r="G8" s="10"/>
      <c r="H8" s="10"/>
      <c r="I8" s="10"/>
      <c r="J8" s="10"/>
      <c r="K8" s="10"/>
      <c r="L8" s="9" t="s">
        <v>2289</v>
      </c>
      <c r="M8" s="6"/>
      <c r="N8" s="6" t="s">
        <v>54</v>
      </c>
      <c r="O8" s="9" t="s">
        <v>444</v>
      </c>
      <c r="P8" s="9" t="s">
        <v>888</v>
      </c>
    </row>
    <row r="9" customFormat="false" ht="15" hidden="false" customHeight="false" outlineLevel="0" collapsed="false">
      <c r="A9" s="6" t="s">
        <v>200</v>
      </c>
      <c r="B9" s="6" t="s">
        <v>2246</v>
      </c>
      <c r="C9" s="10" t="n">
        <v>259193</v>
      </c>
      <c r="D9" s="10" t="n">
        <v>287297</v>
      </c>
      <c r="E9" s="10" t="n">
        <v>-28104</v>
      </c>
      <c r="F9" s="14" t="n">
        <v>110.8</v>
      </c>
      <c r="G9" s="10" t="n">
        <v>287297</v>
      </c>
      <c r="H9" s="10" t="n">
        <v>0</v>
      </c>
      <c r="I9" s="10" t="n">
        <v>0</v>
      </c>
      <c r="J9" s="10" t="n">
        <v>24102</v>
      </c>
      <c r="K9" s="10"/>
      <c r="L9" s="9" t="s">
        <v>2290</v>
      </c>
      <c r="M9" s="6"/>
      <c r="N9" s="6" t="s">
        <v>54</v>
      </c>
      <c r="O9" s="9" t="s">
        <v>444</v>
      </c>
      <c r="P9" s="9" t="s">
        <v>1033</v>
      </c>
    </row>
    <row r="10" customFormat="false" ht="15" hidden="false" customHeight="false" outlineLevel="0" collapsed="false">
      <c r="A10" s="6" t="s">
        <v>182</v>
      </c>
      <c r="B10" s="6" t="s">
        <v>2246</v>
      </c>
      <c r="C10" s="10" t="n">
        <v>3647617</v>
      </c>
      <c r="D10" s="10" t="n">
        <v>3785356</v>
      </c>
      <c r="E10" s="10" t="n">
        <v>-137739</v>
      </c>
      <c r="F10" s="14" t="n">
        <v>103.8</v>
      </c>
      <c r="G10" s="10" t="n">
        <v>3785356</v>
      </c>
      <c r="H10" s="10" t="n">
        <v>0</v>
      </c>
      <c r="I10" s="10" t="n">
        <v>0</v>
      </c>
      <c r="J10" s="10" t="n">
        <v>342800</v>
      </c>
      <c r="K10" s="10"/>
      <c r="L10" s="9" t="s">
        <v>2289</v>
      </c>
      <c r="M10" s="6"/>
      <c r="N10" s="6" t="s">
        <v>54</v>
      </c>
      <c r="O10" s="9" t="s">
        <v>444</v>
      </c>
      <c r="P10" s="9" t="s">
        <v>476</v>
      </c>
    </row>
    <row r="11" customFormat="false" ht="15" hidden="false" customHeight="false" outlineLevel="0" collapsed="false">
      <c r="A11" s="6" t="s">
        <v>204</v>
      </c>
      <c r="B11" s="6" t="s">
        <v>2246</v>
      </c>
      <c r="C11" s="10" t="n">
        <v>788373</v>
      </c>
      <c r="D11" s="10" t="n">
        <v>776439</v>
      </c>
      <c r="E11" s="10" t="n">
        <v>11934</v>
      </c>
      <c r="F11" s="14" t="n">
        <v>98.5</v>
      </c>
      <c r="G11" s="10"/>
      <c r="H11" s="10"/>
      <c r="I11" s="10" t="n">
        <v>712692</v>
      </c>
      <c r="J11" s="10" t="n">
        <v>112227</v>
      </c>
      <c r="K11" s="10" t="n">
        <v>92279</v>
      </c>
      <c r="L11" s="9" t="s">
        <v>2290</v>
      </c>
      <c r="M11" s="6"/>
      <c r="N11" s="9" t="s">
        <v>124</v>
      </c>
      <c r="O11" s="9" t="s">
        <v>444</v>
      </c>
      <c r="P11" s="9" t="s">
        <v>714</v>
      </c>
    </row>
    <row r="12" customFormat="false" ht="15" hidden="false" customHeight="false" outlineLevel="0" collapsed="false">
      <c r="A12" s="6" t="s">
        <v>217</v>
      </c>
      <c r="B12" s="6" t="s">
        <v>2246</v>
      </c>
      <c r="C12" s="10" t="n">
        <v>42699</v>
      </c>
      <c r="D12" s="10" t="n">
        <v>5014</v>
      </c>
      <c r="E12" s="10" t="n">
        <v>37685</v>
      </c>
      <c r="F12" s="14" t="n">
        <v>11.7</v>
      </c>
      <c r="G12" s="10"/>
      <c r="H12" s="10"/>
      <c r="I12" s="10"/>
      <c r="J12" s="10"/>
      <c r="K12" s="10"/>
      <c r="L12" s="9" t="s">
        <v>2289</v>
      </c>
      <c r="M12" s="6"/>
      <c r="N12" s="9" t="s">
        <v>124</v>
      </c>
      <c r="O12" s="9" t="s">
        <v>444</v>
      </c>
      <c r="P12" s="9" t="s">
        <v>1249</v>
      </c>
    </row>
    <row r="13" customFormat="false" ht="15" hidden="false" customHeight="false" outlineLevel="0" collapsed="false">
      <c r="A13" s="6" t="s">
        <v>341</v>
      </c>
      <c r="B13" s="6" t="s">
        <v>2244</v>
      </c>
      <c r="C13" s="10" t="n">
        <v>18692268586</v>
      </c>
      <c r="D13" s="10" t="n">
        <v>11605215758</v>
      </c>
      <c r="E13" s="10" t="n">
        <v>7087052828</v>
      </c>
      <c r="F13" s="14" t="n">
        <v>62.1</v>
      </c>
      <c r="G13" s="10" t="n">
        <v>11605215758</v>
      </c>
      <c r="H13" s="10" t="n">
        <v>0</v>
      </c>
      <c r="I13" s="10" t="n">
        <v>0</v>
      </c>
      <c r="J13" s="10"/>
      <c r="K13" s="10"/>
      <c r="L13" s="9" t="s">
        <v>2289</v>
      </c>
      <c r="M13" s="6"/>
      <c r="N13" s="9" t="s">
        <v>124</v>
      </c>
      <c r="O13" s="9" t="s">
        <v>444</v>
      </c>
      <c r="P13" s="9" t="s">
        <v>1208</v>
      </c>
    </row>
    <row r="14" customFormat="false" ht="15" hidden="false" customHeight="false" outlineLevel="0" collapsed="false">
      <c r="A14" s="6" t="s">
        <v>222</v>
      </c>
      <c r="B14" s="6" t="s">
        <v>2246</v>
      </c>
      <c r="C14" s="10" t="n">
        <v>2168939</v>
      </c>
      <c r="D14" s="10" t="n">
        <v>1557577</v>
      </c>
      <c r="E14" s="10" t="n">
        <v>611362</v>
      </c>
      <c r="F14" s="14" t="n">
        <v>71.8</v>
      </c>
      <c r="G14" s="10" t="n">
        <v>1071350</v>
      </c>
      <c r="H14" s="10" t="n">
        <v>486227</v>
      </c>
      <c r="I14" s="10" t="n">
        <v>0</v>
      </c>
      <c r="J14" s="10" t="n">
        <v>107610</v>
      </c>
      <c r="K14" s="10" t="n">
        <v>457733</v>
      </c>
      <c r="L14" s="9" t="s">
        <v>2290</v>
      </c>
      <c r="M14" s="6"/>
      <c r="N14" s="6" t="s">
        <v>54</v>
      </c>
      <c r="O14" s="9" t="s">
        <v>444</v>
      </c>
      <c r="P14" s="9" t="s">
        <v>534</v>
      </c>
    </row>
    <row r="15" customFormat="false" ht="15" hidden="false" customHeight="false" outlineLevel="0" collapsed="false">
      <c r="A15" s="6" t="s">
        <v>117</v>
      </c>
      <c r="B15" s="6" t="s">
        <v>2240</v>
      </c>
      <c r="C15" s="10" t="n">
        <v>31026824</v>
      </c>
      <c r="D15" s="10" t="n">
        <v>19166025</v>
      </c>
      <c r="E15" s="10" t="n">
        <v>11860799</v>
      </c>
      <c r="F15" s="14" t="n">
        <v>61.8</v>
      </c>
      <c r="G15" s="10"/>
      <c r="H15" s="10"/>
      <c r="I15" s="10"/>
      <c r="J15" s="10"/>
      <c r="K15" s="10"/>
      <c r="L15" s="9" t="s">
        <v>2289</v>
      </c>
      <c r="M15" s="6"/>
      <c r="N15" s="6" t="s">
        <v>54</v>
      </c>
      <c r="O15" s="9" t="s">
        <v>444</v>
      </c>
      <c r="P15" s="9" t="s">
        <v>828</v>
      </c>
    </row>
    <row r="16" customFormat="false" ht="15" hidden="false" customHeight="false" outlineLevel="0" collapsed="false">
      <c r="A16" s="6" t="s">
        <v>169</v>
      </c>
      <c r="B16" s="6" t="s">
        <v>2246</v>
      </c>
      <c r="C16" s="10" t="n">
        <v>16855052</v>
      </c>
      <c r="D16" s="10" t="n">
        <v>20568079</v>
      </c>
      <c r="E16" s="10" t="n">
        <v>-3713027</v>
      </c>
      <c r="F16" s="14" t="n">
        <v>122</v>
      </c>
      <c r="G16" s="10" t="n">
        <v>15965578</v>
      </c>
      <c r="H16" s="10" t="n">
        <v>4537493</v>
      </c>
      <c r="I16" s="10" t="n">
        <v>65008</v>
      </c>
      <c r="J16" s="10" t="n">
        <v>2264779</v>
      </c>
      <c r="K16" s="10"/>
      <c r="L16" s="9" t="s">
        <v>2289</v>
      </c>
      <c r="M16" s="6"/>
      <c r="N16" s="6" t="s">
        <v>54</v>
      </c>
      <c r="O16" s="9" t="s">
        <v>444</v>
      </c>
      <c r="P16" s="9" t="s">
        <v>445</v>
      </c>
    </row>
    <row r="17" customFormat="false" ht="15" hidden="false" customHeight="false" outlineLevel="0" collapsed="false">
      <c r="A17" s="6" t="s">
        <v>243</v>
      </c>
      <c r="B17" s="6" t="s">
        <v>2240</v>
      </c>
      <c r="C17" s="10" t="n">
        <v>70930838</v>
      </c>
      <c r="D17" s="10" t="n">
        <v>77043471</v>
      </c>
      <c r="E17" s="10" t="n">
        <v>-6112633</v>
      </c>
      <c r="F17" s="14" t="n">
        <v>108.6</v>
      </c>
      <c r="G17" s="10" t="n">
        <v>7019708</v>
      </c>
      <c r="H17" s="10" t="n">
        <v>69997182</v>
      </c>
      <c r="I17" s="10" t="n">
        <v>26581</v>
      </c>
      <c r="J17" s="10" t="n">
        <v>14247480</v>
      </c>
      <c r="K17" s="10" t="n">
        <v>15130000</v>
      </c>
      <c r="L17" s="9" t="s">
        <v>2290</v>
      </c>
      <c r="M17" s="6"/>
      <c r="N17" s="6" t="s">
        <v>54</v>
      </c>
      <c r="O17" s="9" t="s">
        <v>444</v>
      </c>
      <c r="P17" s="9" t="s">
        <v>678</v>
      </c>
    </row>
    <row r="18" customFormat="false" ht="15" hidden="false" customHeight="false" outlineLevel="0" collapsed="false">
      <c r="A18" s="6" t="s">
        <v>283</v>
      </c>
      <c r="B18" s="6" t="s">
        <v>2240</v>
      </c>
      <c r="C18" s="10" t="n">
        <v>31549469</v>
      </c>
      <c r="D18" s="10" t="n">
        <v>23942267</v>
      </c>
      <c r="E18" s="10" t="n">
        <v>7607202</v>
      </c>
      <c r="F18" s="14" t="n">
        <v>75.9</v>
      </c>
      <c r="G18" s="10"/>
      <c r="H18" s="10"/>
      <c r="I18" s="10"/>
      <c r="J18" s="10" t="n">
        <v>6684642</v>
      </c>
      <c r="K18" s="10"/>
      <c r="L18" s="9" t="s">
        <v>2289</v>
      </c>
      <c r="M18" s="6"/>
      <c r="N18" s="9" t="s">
        <v>124</v>
      </c>
      <c r="O18" s="9" t="s">
        <v>444</v>
      </c>
      <c r="P18" s="9" t="s">
        <v>738</v>
      </c>
    </row>
    <row r="19" customFormat="false" ht="15" hidden="false" customHeight="false" outlineLevel="0" collapsed="false">
      <c r="A19" s="9" t="s">
        <v>106</v>
      </c>
      <c r="B19" s="6" t="s">
        <v>2244</v>
      </c>
      <c r="C19" s="10" t="n">
        <v>18077880623</v>
      </c>
      <c r="D19" s="10" t="n">
        <v>20353718634</v>
      </c>
      <c r="E19" s="10" t="n">
        <v>-2275838011</v>
      </c>
      <c r="F19" s="14" t="n">
        <v>112.6</v>
      </c>
      <c r="G19" s="10"/>
      <c r="H19" s="10"/>
      <c r="I19" s="10"/>
      <c r="J19" s="10"/>
      <c r="K19" s="10"/>
      <c r="L19" s="9" t="s">
        <v>2289</v>
      </c>
      <c r="M19" s="6"/>
      <c r="N19" s="6" t="s">
        <v>54</v>
      </c>
      <c r="O19" s="9" t="s">
        <v>444</v>
      </c>
      <c r="P19" s="9" t="s">
        <v>900</v>
      </c>
    </row>
    <row r="20" customFormat="false" ht="15" hidden="false" customHeight="false" outlineLevel="0" collapsed="false">
      <c r="A20" s="9" t="s">
        <v>399</v>
      </c>
      <c r="B20" s="6" t="s">
        <v>2246</v>
      </c>
      <c r="C20" s="10" t="n">
        <v>224397</v>
      </c>
      <c r="D20" s="10" t="n">
        <v>233075</v>
      </c>
      <c r="E20" s="10" t="n">
        <v>-8678</v>
      </c>
      <c r="F20" s="14" t="n">
        <v>103.9</v>
      </c>
      <c r="G20" s="10"/>
      <c r="H20" s="10"/>
      <c r="I20" s="10"/>
      <c r="J20" s="10"/>
      <c r="K20" s="10"/>
      <c r="L20" s="9" t="s">
        <v>2289</v>
      </c>
      <c r="M20" s="6"/>
      <c r="N20" s="6" t="s">
        <v>54</v>
      </c>
      <c r="O20" s="9" t="s">
        <v>444</v>
      </c>
      <c r="P20" s="9" t="s">
        <v>564</v>
      </c>
    </row>
    <row r="21" customFormat="false" ht="15" hidden="false" customHeight="false" outlineLevel="0" collapsed="false">
      <c r="A21" s="9" t="s">
        <v>81</v>
      </c>
      <c r="B21" s="6" t="s">
        <v>2240</v>
      </c>
      <c r="C21" s="10" t="n">
        <v>4346840</v>
      </c>
      <c r="D21" s="10" t="n">
        <v>3943525</v>
      </c>
      <c r="E21" s="10" t="n">
        <v>403315</v>
      </c>
      <c r="F21" s="14" t="n">
        <v>90.7</v>
      </c>
      <c r="G21" s="10"/>
      <c r="H21" s="10"/>
      <c r="I21" s="10"/>
      <c r="J21" s="10"/>
      <c r="K21" s="10"/>
      <c r="L21" s="9" t="s">
        <v>2289</v>
      </c>
      <c r="M21" s="6"/>
      <c r="N21" s="6" t="s">
        <v>54</v>
      </c>
      <c r="O21" s="9" t="s">
        <v>444</v>
      </c>
      <c r="P21" s="9" t="s">
        <v>870</v>
      </c>
    </row>
    <row r="22" customFormat="false" ht="15" hidden="false" customHeight="false" outlineLevel="0" collapsed="false">
      <c r="A22" s="9" t="s">
        <v>273</v>
      </c>
      <c r="B22" s="6" t="s">
        <v>2240</v>
      </c>
      <c r="C22" s="10" t="n">
        <v>104764264</v>
      </c>
      <c r="D22" s="10" t="n">
        <v>115647794</v>
      </c>
      <c r="E22" s="10" t="n">
        <v>-10883530</v>
      </c>
      <c r="F22" s="14" t="n">
        <v>110.4</v>
      </c>
      <c r="G22" s="10" t="n">
        <v>46935209</v>
      </c>
      <c r="H22" s="10" t="n">
        <v>30165412</v>
      </c>
      <c r="I22" s="10" t="n">
        <v>38547173</v>
      </c>
      <c r="J22" s="10" t="n">
        <v>7341529</v>
      </c>
      <c r="K22" s="10"/>
      <c r="L22" s="9" t="s">
        <v>2289</v>
      </c>
      <c r="M22" s="6"/>
      <c r="N22" s="9" t="s">
        <v>124</v>
      </c>
      <c r="O22" s="9" t="s">
        <v>444</v>
      </c>
      <c r="P22" s="9" t="s">
        <v>606</v>
      </c>
    </row>
    <row r="23" customFormat="false" ht="15" hidden="false" customHeight="false" outlineLevel="0" collapsed="false">
      <c r="A23" s="6" t="s">
        <v>57</v>
      </c>
      <c r="B23" s="6" t="s">
        <v>2240</v>
      </c>
      <c r="C23" s="10" t="n">
        <v>96545208</v>
      </c>
      <c r="D23" s="10" t="n">
        <v>99209350</v>
      </c>
      <c r="E23" s="10" t="n">
        <v>-2664142</v>
      </c>
      <c r="F23" s="14" t="n">
        <v>102.8</v>
      </c>
      <c r="G23" s="10"/>
      <c r="H23" s="10"/>
      <c r="I23" s="10"/>
      <c r="J23" s="10"/>
      <c r="K23" s="10"/>
      <c r="L23" s="9" t="s">
        <v>2289</v>
      </c>
      <c r="M23" s="6"/>
      <c r="N23" s="6" t="s">
        <v>54</v>
      </c>
      <c r="O23" s="9" t="s">
        <v>444</v>
      </c>
      <c r="P23" s="9" t="s">
        <v>666</v>
      </c>
    </row>
    <row r="24" customFormat="false" ht="15" hidden="false" customHeight="false" outlineLevel="0" collapsed="false">
      <c r="A24" s="6" t="s">
        <v>331</v>
      </c>
      <c r="B24" s="6" t="s">
        <v>2240</v>
      </c>
      <c r="C24" s="10" t="n">
        <v>18056874</v>
      </c>
      <c r="D24" s="10" t="n">
        <v>20270135</v>
      </c>
      <c r="E24" s="10" t="n">
        <v>-2213261</v>
      </c>
      <c r="F24" s="14" t="n">
        <v>112.3</v>
      </c>
      <c r="G24" s="10"/>
      <c r="H24" s="10"/>
      <c r="I24" s="10"/>
      <c r="J24" s="10"/>
      <c r="K24" s="10"/>
      <c r="L24" s="9" t="s">
        <v>2289</v>
      </c>
      <c r="M24" s="6"/>
      <c r="N24" s="6" t="s">
        <v>54</v>
      </c>
      <c r="O24" s="9" t="s">
        <v>444</v>
      </c>
      <c r="P24" s="9" t="s">
        <v>546</v>
      </c>
    </row>
    <row r="25" customFormat="false" ht="15" hidden="false" customHeight="false" outlineLevel="0" collapsed="false">
      <c r="A25" s="6" t="s">
        <v>129</v>
      </c>
      <c r="B25" s="6" t="s">
        <v>2240</v>
      </c>
      <c r="C25" s="10" t="n">
        <v>10113851</v>
      </c>
      <c r="D25" s="10" t="n">
        <v>4588771</v>
      </c>
      <c r="E25" s="10" t="n">
        <v>5525080</v>
      </c>
      <c r="F25" s="14" t="n">
        <v>45.4</v>
      </c>
      <c r="G25" s="10"/>
      <c r="H25" s="10"/>
      <c r="I25" s="10"/>
      <c r="J25" s="10"/>
      <c r="K25" s="10"/>
      <c r="L25" s="9" t="s">
        <v>2289</v>
      </c>
      <c r="M25" s="6"/>
      <c r="N25" s="6" t="s">
        <v>54</v>
      </c>
      <c r="O25" s="9" t="s">
        <v>444</v>
      </c>
      <c r="P25" s="9" t="s">
        <v>852</v>
      </c>
    </row>
    <row r="26" customFormat="false" ht="15" hidden="false" customHeight="false" outlineLevel="0" collapsed="false">
      <c r="A26" s="6" t="s">
        <v>368</v>
      </c>
      <c r="B26" s="6" t="s">
        <v>2246</v>
      </c>
      <c r="C26" s="10" t="n">
        <v>543984</v>
      </c>
      <c r="D26" s="10" t="n">
        <v>693947</v>
      </c>
      <c r="E26" s="10" t="n">
        <v>-149963</v>
      </c>
      <c r="F26" s="14" t="n">
        <v>127.6</v>
      </c>
      <c r="G26" s="10"/>
      <c r="H26" s="10"/>
      <c r="I26" s="10"/>
      <c r="J26" s="10"/>
      <c r="K26" s="10"/>
      <c r="L26" s="9" t="s">
        <v>2289</v>
      </c>
      <c r="M26" s="6"/>
      <c r="N26" s="6" t="s">
        <v>54</v>
      </c>
      <c r="O26" s="9" t="s">
        <v>444</v>
      </c>
      <c r="P26" s="9" t="s">
        <v>528</v>
      </c>
    </row>
    <row r="27" customFormat="false" ht="15" hidden="false" customHeight="false" outlineLevel="0" collapsed="false">
      <c r="A27" s="9" t="s">
        <v>234</v>
      </c>
      <c r="B27" s="6" t="s">
        <v>2246</v>
      </c>
      <c r="C27" s="10" t="n">
        <v>492685</v>
      </c>
      <c r="D27" s="10" t="n">
        <v>531035</v>
      </c>
      <c r="E27" s="10" t="n">
        <v>-38350</v>
      </c>
      <c r="F27" s="14" t="n">
        <v>107.8</v>
      </c>
      <c r="G27" s="10" t="n">
        <v>531035</v>
      </c>
      <c r="H27" s="10" t="n">
        <v>0</v>
      </c>
      <c r="I27" s="10" t="n">
        <v>0</v>
      </c>
      <c r="J27" s="10" t="n">
        <v>20084</v>
      </c>
      <c r="K27" s="10"/>
      <c r="L27" s="9" t="s">
        <v>2289</v>
      </c>
      <c r="M27" s="9" t="s">
        <v>2291</v>
      </c>
      <c r="N27" s="9" t="s">
        <v>124</v>
      </c>
      <c r="O27" s="9" t="s">
        <v>444</v>
      </c>
      <c r="P27" s="9" t="s">
        <v>1004</v>
      </c>
    </row>
    <row r="28" customFormat="false" ht="15" hidden="false" customHeight="false" outlineLevel="0" collapsed="false">
      <c r="A28" s="6" t="s">
        <v>185</v>
      </c>
      <c r="B28" s="6" t="s">
        <v>2246</v>
      </c>
      <c r="C28" s="10" t="n">
        <v>1853977</v>
      </c>
      <c r="D28" s="10" t="n">
        <v>1295140</v>
      </c>
      <c r="E28" s="10" t="n">
        <v>581488</v>
      </c>
      <c r="F28" s="14" t="n">
        <v>69.9</v>
      </c>
      <c r="G28" s="10"/>
      <c r="H28" s="10" t="n">
        <v>899607</v>
      </c>
      <c r="I28" s="10" t="n">
        <v>395533</v>
      </c>
      <c r="J28" s="10" t="n">
        <v>56681</v>
      </c>
      <c r="K28" s="10" t="n">
        <v>414089</v>
      </c>
      <c r="L28" s="9" t="s">
        <v>2290</v>
      </c>
      <c r="M28" s="6"/>
      <c r="N28" s="6" t="s">
        <v>54</v>
      </c>
      <c r="O28" s="9" t="s">
        <v>444</v>
      </c>
      <c r="P28" s="9" t="s">
        <v>558</v>
      </c>
    </row>
    <row r="29" customFormat="false" ht="15" hidden="false" customHeight="false" outlineLevel="0" collapsed="false">
      <c r="A29" s="6" t="s">
        <v>260</v>
      </c>
      <c r="B29" s="6" t="s">
        <v>2246</v>
      </c>
      <c r="C29" s="10" t="n">
        <v>3827993</v>
      </c>
      <c r="D29" s="10" t="n">
        <v>1797681</v>
      </c>
      <c r="E29" s="10" t="n">
        <v>2030312</v>
      </c>
      <c r="F29" s="14" t="n">
        <v>47</v>
      </c>
      <c r="G29" s="10"/>
      <c r="H29" s="10"/>
      <c r="I29" s="10"/>
      <c r="J29" s="10"/>
      <c r="K29" s="10"/>
      <c r="L29" s="9" t="s">
        <v>2289</v>
      </c>
      <c r="M29" s="6"/>
      <c r="N29" s="9" t="s">
        <v>124</v>
      </c>
      <c r="O29" s="9" t="s">
        <v>444</v>
      </c>
      <c r="P29" s="9" t="s">
        <v>958</v>
      </c>
    </row>
    <row r="30" customFormat="false" ht="15" hidden="false" customHeight="false" outlineLevel="0" collapsed="false">
      <c r="A30" s="9" t="s">
        <v>280</v>
      </c>
      <c r="B30" s="6" t="s">
        <v>2246</v>
      </c>
      <c r="C30" s="10" t="n">
        <v>172357</v>
      </c>
      <c r="D30" s="10" t="n">
        <v>159659</v>
      </c>
      <c r="E30" s="10" t="n">
        <v>12698</v>
      </c>
      <c r="F30" s="14" t="n">
        <v>92.6</v>
      </c>
      <c r="G30" s="10" t="n">
        <v>159659</v>
      </c>
      <c r="H30" s="10" t="n">
        <v>0</v>
      </c>
      <c r="I30" s="10" t="n">
        <v>0</v>
      </c>
      <c r="J30" s="10" t="n">
        <v>23669</v>
      </c>
      <c r="K30" s="10"/>
      <c r="L30" s="9" t="s">
        <v>2289</v>
      </c>
      <c r="M30" s="6"/>
      <c r="N30" s="9" t="s">
        <v>124</v>
      </c>
      <c r="O30" s="9" t="s">
        <v>444</v>
      </c>
      <c r="P30" s="9" t="s">
        <v>540</v>
      </c>
    </row>
    <row r="31" customFormat="false" ht="15" hidden="false" customHeight="false" outlineLevel="0" collapsed="false">
      <c r="A31" s="6" t="s">
        <v>287</v>
      </c>
      <c r="B31" s="6" t="s">
        <v>2240</v>
      </c>
      <c r="C31" s="10" t="n">
        <v>393303598</v>
      </c>
      <c r="D31" s="10" t="n">
        <v>288005568</v>
      </c>
      <c r="E31" s="10" t="n">
        <v>105298030</v>
      </c>
      <c r="F31" s="14" t="n">
        <v>73.2</v>
      </c>
      <c r="G31" s="10"/>
      <c r="H31" s="10"/>
      <c r="I31" s="10"/>
      <c r="J31" s="10"/>
      <c r="K31" s="10"/>
      <c r="L31" s="9" t="s">
        <v>2289</v>
      </c>
      <c r="M31" s="6"/>
      <c r="N31" s="6" t="s">
        <v>54</v>
      </c>
      <c r="O31" s="9" t="s">
        <v>444</v>
      </c>
      <c r="P31" s="9" t="s">
        <v>804</v>
      </c>
    </row>
    <row r="32" customFormat="false" ht="15" hidden="false" customHeight="false" outlineLevel="0" collapsed="false">
      <c r="A32" s="6" t="s">
        <v>312</v>
      </c>
      <c r="B32" s="6" t="s">
        <v>2240</v>
      </c>
      <c r="C32" s="10" t="n">
        <v>52226715</v>
      </c>
      <c r="D32" s="10" t="n">
        <v>59018005</v>
      </c>
      <c r="E32" s="10" t="n">
        <v>-6791290</v>
      </c>
      <c r="F32" s="14" t="n">
        <v>113</v>
      </c>
      <c r="G32" s="10"/>
      <c r="H32" s="10"/>
      <c r="I32" s="10"/>
      <c r="J32" s="10"/>
      <c r="K32" s="10"/>
      <c r="L32" s="9" t="s">
        <v>2289</v>
      </c>
      <c r="M32" s="6"/>
      <c r="N32" s="6" t="s">
        <v>54</v>
      </c>
      <c r="O32" s="9" t="s">
        <v>444</v>
      </c>
      <c r="P32" s="9" t="s">
        <v>882</v>
      </c>
    </row>
    <row r="33" customFormat="false" ht="15" hidden="false" customHeight="false" outlineLevel="0" collapsed="false">
      <c r="A33" s="6" t="s">
        <v>263</v>
      </c>
      <c r="B33" s="6" t="s">
        <v>2246</v>
      </c>
      <c r="C33" s="10" t="n">
        <v>554839</v>
      </c>
      <c r="D33" s="10" t="n">
        <v>273761</v>
      </c>
      <c r="E33" s="10" t="n">
        <v>281078</v>
      </c>
      <c r="F33" s="14" t="n">
        <v>49.3</v>
      </c>
      <c r="G33" s="10" t="n">
        <v>252470</v>
      </c>
      <c r="H33" s="10" t="n">
        <v>16688</v>
      </c>
      <c r="I33" s="10" t="n">
        <v>4603</v>
      </c>
      <c r="J33" s="10" t="n">
        <v>44791</v>
      </c>
      <c r="K33" s="10"/>
      <c r="L33" s="9" t="s">
        <v>2289</v>
      </c>
      <c r="M33" s="6"/>
      <c r="N33" s="9" t="s">
        <v>124</v>
      </c>
      <c r="O33" s="9" t="s">
        <v>444</v>
      </c>
      <c r="P33" s="9" t="s">
        <v>506</v>
      </c>
    </row>
    <row r="34" customFormat="false" ht="15" hidden="false" customHeight="false" outlineLevel="0" collapsed="false">
      <c r="A34" s="9" t="s">
        <v>213</v>
      </c>
      <c r="B34" s="6" t="s">
        <v>2246</v>
      </c>
      <c r="C34" s="10" t="n">
        <v>172369</v>
      </c>
      <c r="D34" s="10" t="n">
        <v>167267</v>
      </c>
      <c r="E34" s="10" t="n">
        <v>5102</v>
      </c>
      <c r="F34" s="14" t="n">
        <v>97</v>
      </c>
      <c r="G34" s="10" t="n">
        <v>162083</v>
      </c>
      <c r="H34" s="10" t="n">
        <v>0</v>
      </c>
      <c r="I34" s="10" t="n">
        <v>5184</v>
      </c>
      <c r="J34" s="10" t="n">
        <v>19012</v>
      </c>
      <c r="K34" s="10" t="n">
        <v>6884</v>
      </c>
      <c r="L34" s="9" t="s">
        <v>2289</v>
      </c>
      <c r="M34" s="6"/>
      <c r="N34" s="6" t="s">
        <v>54</v>
      </c>
      <c r="O34" s="9" t="s">
        <v>444</v>
      </c>
      <c r="P34" s="9" t="s">
        <v>464</v>
      </c>
    </row>
    <row r="35" customFormat="false" ht="15" hidden="false" customHeight="false" outlineLevel="0" collapsed="false">
      <c r="A35" s="6" t="s">
        <v>178</v>
      </c>
      <c r="B35" s="6" t="s">
        <v>2246</v>
      </c>
      <c r="C35" s="10" t="n">
        <v>7440949</v>
      </c>
      <c r="D35" s="10" t="n">
        <v>7602257</v>
      </c>
      <c r="E35" s="10" t="n">
        <v>-161308</v>
      </c>
      <c r="F35" s="14" t="n">
        <v>102.2</v>
      </c>
      <c r="G35" s="10" t="n">
        <v>7601401</v>
      </c>
      <c r="H35" s="10" t="n">
        <v>0</v>
      </c>
      <c r="I35" s="10" t="n">
        <v>856</v>
      </c>
      <c r="J35" s="10" t="n">
        <v>856213</v>
      </c>
      <c r="K35" s="10" t="n">
        <v>781460</v>
      </c>
      <c r="L35" s="9" t="s">
        <v>2290</v>
      </c>
      <c r="M35" s="6"/>
      <c r="N35" s="6" t="s">
        <v>54</v>
      </c>
      <c r="O35" s="9" t="s">
        <v>444</v>
      </c>
      <c r="P35" s="9" t="s">
        <v>470</v>
      </c>
    </row>
    <row r="36" customFormat="false" ht="15" hidden="false" customHeight="false" outlineLevel="0" collapsed="false">
      <c r="A36" s="9" t="s">
        <v>174</v>
      </c>
      <c r="B36" s="6" t="s">
        <v>2246</v>
      </c>
      <c r="C36" s="10" t="n">
        <v>3447188</v>
      </c>
      <c r="D36" s="10" t="n">
        <v>4933932</v>
      </c>
      <c r="E36" s="10" t="n">
        <v>-1486744</v>
      </c>
      <c r="F36" s="14" t="n">
        <v>143.1</v>
      </c>
      <c r="G36" s="10" t="n">
        <v>4825314</v>
      </c>
      <c r="H36" s="10" t="n">
        <v>0</v>
      </c>
      <c r="I36" s="10" t="n">
        <v>108618</v>
      </c>
      <c r="J36" s="10" t="n">
        <v>736528</v>
      </c>
      <c r="K36" s="10" t="n">
        <v>848730</v>
      </c>
      <c r="L36" s="9" t="s">
        <v>2290</v>
      </c>
      <c r="M36" s="6" t="s">
        <v>2292</v>
      </c>
      <c r="N36" s="6" t="s">
        <v>54</v>
      </c>
      <c r="O36" s="9" t="s">
        <v>444</v>
      </c>
      <c r="P36" s="9" t="s">
        <v>452</v>
      </c>
    </row>
    <row r="37" customFormat="false" ht="15" hidden="false" customHeight="false" outlineLevel="0" collapsed="false">
      <c r="A37" s="6" t="s">
        <v>189</v>
      </c>
      <c r="B37" s="6" t="s">
        <v>2246</v>
      </c>
      <c r="C37" s="10" t="n">
        <v>1217433</v>
      </c>
      <c r="D37" s="10" t="n">
        <v>1344453</v>
      </c>
      <c r="E37" s="10" t="n">
        <v>-127142</v>
      </c>
      <c r="F37" s="14" t="n">
        <v>110.4</v>
      </c>
      <c r="G37" s="10" t="n">
        <v>1344453</v>
      </c>
      <c r="H37" s="10" t="n">
        <v>0</v>
      </c>
      <c r="I37" s="10" t="n">
        <v>0</v>
      </c>
      <c r="J37" s="10" t="n">
        <v>213779</v>
      </c>
      <c r="K37" s="10"/>
      <c r="L37" s="9" t="s">
        <v>2290</v>
      </c>
      <c r="M37" s="6"/>
      <c r="N37" s="6" t="s">
        <v>54</v>
      </c>
      <c r="O37" s="9" t="s">
        <v>444</v>
      </c>
      <c r="P37" s="9" t="s">
        <v>482</v>
      </c>
    </row>
    <row r="38" customFormat="false" ht="15" hidden="false" customHeight="false" outlineLevel="0" collapsed="false">
      <c r="A38" s="6" t="s">
        <v>296</v>
      </c>
      <c r="B38" s="6" t="s">
        <v>2244</v>
      </c>
      <c r="C38" s="10" t="n">
        <v>591400487823</v>
      </c>
      <c r="D38" s="10" t="n">
        <v>553470474886</v>
      </c>
      <c r="E38" s="10" t="n">
        <v>37930012937</v>
      </c>
      <c r="F38" s="14" t="n">
        <v>93.6</v>
      </c>
      <c r="G38" s="10"/>
      <c r="H38" s="10"/>
      <c r="I38" s="10"/>
      <c r="J38" s="10"/>
      <c r="K38" s="10"/>
      <c r="L38" s="9" t="s">
        <v>2289</v>
      </c>
      <c r="M38" s="6"/>
      <c r="N38" s="6" t="s">
        <v>54</v>
      </c>
      <c r="O38" s="9" t="s">
        <v>444</v>
      </c>
      <c r="P38" s="9" t="s">
        <v>997</v>
      </c>
    </row>
    <row r="39" customFormat="false" ht="15" hidden="false" customHeight="false" outlineLevel="0" collapsed="false">
      <c r="A39" s="6" t="s">
        <v>153</v>
      </c>
      <c r="B39" s="6" t="s">
        <v>2244</v>
      </c>
      <c r="C39" s="10" t="n">
        <v>2650681995</v>
      </c>
      <c r="D39" s="10" t="n">
        <v>2044687693</v>
      </c>
      <c r="E39" s="10" t="n">
        <v>605994302</v>
      </c>
      <c r="F39" s="14" t="n">
        <v>77.1</v>
      </c>
      <c r="G39" s="10"/>
      <c r="H39" s="10"/>
      <c r="I39" s="10"/>
      <c r="J39" s="10"/>
      <c r="K39" s="10"/>
      <c r="L39" s="9" t="s">
        <v>2289</v>
      </c>
      <c r="M39" s="6"/>
      <c r="N39" s="6" t="s">
        <v>54</v>
      </c>
      <c r="O39" s="9" t="s">
        <v>444</v>
      </c>
      <c r="P39" s="9" t="s">
        <v>744</v>
      </c>
    </row>
    <row r="40" customFormat="false" ht="15" hidden="false" customHeight="false" outlineLevel="0" collapsed="false">
      <c r="A40" s="6" t="s">
        <v>417</v>
      </c>
      <c r="B40" s="6" t="s">
        <v>2240</v>
      </c>
      <c r="C40" s="10" t="n">
        <v>21942524</v>
      </c>
      <c r="D40" s="10" t="n">
        <v>18150060</v>
      </c>
      <c r="E40" s="10" t="n">
        <v>3792464</v>
      </c>
      <c r="F40" s="14" t="n">
        <v>82.7</v>
      </c>
      <c r="G40" s="10"/>
      <c r="H40" s="10"/>
      <c r="I40" s="10"/>
      <c r="J40" s="10"/>
      <c r="K40" s="10"/>
      <c r="L40" s="9" t="s">
        <v>2289</v>
      </c>
      <c r="M40" s="6"/>
      <c r="N40" s="6" t="s">
        <v>54</v>
      </c>
      <c r="O40" s="9" t="s">
        <v>444</v>
      </c>
      <c r="P40" s="9" t="s">
        <v>798</v>
      </c>
    </row>
    <row r="41" customFormat="false" ht="15" hidden="false" customHeight="false" outlineLevel="0" collapsed="false">
      <c r="A41" s="9" t="s">
        <v>196</v>
      </c>
      <c r="B41" s="6" t="s">
        <v>2246</v>
      </c>
      <c r="C41" s="10" t="n">
        <v>3601830</v>
      </c>
      <c r="D41" s="10" t="n">
        <v>4012844</v>
      </c>
      <c r="E41" s="10" t="n">
        <v>-411014</v>
      </c>
      <c r="F41" s="14" t="n">
        <v>111.4</v>
      </c>
      <c r="G41" s="10" t="n">
        <v>2672071</v>
      </c>
      <c r="H41" s="10" t="n">
        <v>1340773</v>
      </c>
      <c r="I41" s="10" t="n">
        <v>0</v>
      </c>
      <c r="J41" s="10" t="n">
        <v>557018</v>
      </c>
      <c r="K41" s="10"/>
      <c r="L41" s="9" t="s">
        <v>2290</v>
      </c>
      <c r="M41" s="6"/>
      <c r="N41" s="6" t="s">
        <v>54</v>
      </c>
      <c r="O41" s="9" t="s">
        <v>444</v>
      </c>
      <c r="P41" s="9" t="s">
        <v>458</v>
      </c>
    </row>
    <row r="42" customFormat="false" ht="15" hidden="false" customHeight="false" outlineLevel="0" collapsed="false">
      <c r="A42" s="6" t="s">
        <v>338</v>
      </c>
      <c r="B42" s="6" t="s">
        <v>2240</v>
      </c>
      <c r="C42" s="10" t="n">
        <v>352557621</v>
      </c>
      <c r="D42" s="10" t="n">
        <v>240197690</v>
      </c>
      <c r="E42" s="10" t="n">
        <v>112359931</v>
      </c>
      <c r="F42" s="14" t="n">
        <v>68.1</v>
      </c>
      <c r="G42" s="10"/>
      <c r="H42" s="10"/>
      <c r="I42" s="10"/>
      <c r="J42" s="10"/>
      <c r="K42" s="10"/>
      <c r="L42" s="9" t="s">
        <v>2289</v>
      </c>
      <c r="M42" s="6"/>
      <c r="N42" s="6" t="s">
        <v>54</v>
      </c>
      <c r="O42" s="9" t="s">
        <v>444</v>
      </c>
      <c r="P42" s="9" t="s">
        <v>726</v>
      </c>
    </row>
    <row r="43" customFormat="false" ht="15" hidden="false" customHeight="false" outlineLevel="0" collapsed="false">
      <c r="A43" s="6" t="s">
        <v>67</v>
      </c>
      <c r="B43" s="6" t="s">
        <v>2244</v>
      </c>
      <c r="C43" s="10" t="n">
        <v>84422316301</v>
      </c>
      <c r="D43" s="10" t="n">
        <v>85770952245</v>
      </c>
      <c r="E43" s="10" t="n">
        <v>-1348635944</v>
      </c>
      <c r="F43" s="14" t="n">
        <v>101.6</v>
      </c>
      <c r="G43" s="10"/>
      <c r="H43" s="10"/>
      <c r="I43" s="10"/>
      <c r="J43" s="10"/>
      <c r="K43" s="10"/>
      <c r="L43" s="9" t="s">
        <v>2289</v>
      </c>
      <c r="M43" s="6"/>
      <c r="N43" s="6" t="s">
        <v>54</v>
      </c>
      <c r="O43" s="9" t="s">
        <v>444</v>
      </c>
      <c r="P43" s="9" t="s">
        <v>672</v>
      </c>
    </row>
    <row r="44" customFormat="false" ht="15" hidden="false" customHeight="false" outlineLevel="0" collapsed="false">
      <c r="A44" s="9" t="s">
        <v>395</v>
      </c>
      <c r="B44" s="6" t="s">
        <v>2240</v>
      </c>
      <c r="C44" s="10" t="n">
        <v>10682246</v>
      </c>
      <c r="D44" s="10" t="n">
        <v>11027506</v>
      </c>
      <c r="E44" s="10" t="n">
        <v>-345260</v>
      </c>
      <c r="F44" s="14" t="n">
        <v>103.2</v>
      </c>
      <c r="G44" s="10"/>
      <c r="H44" s="10"/>
      <c r="I44" s="10"/>
      <c r="J44" s="10"/>
      <c r="K44" s="10"/>
      <c r="L44" s="9" t="s">
        <v>2289</v>
      </c>
      <c r="M44" s="6"/>
      <c r="N44" s="6" t="s">
        <v>54</v>
      </c>
      <c r="O44" s="9" t="s">
        <v>444</v>
      </c>
      <c r="P44" s="9" t="s">
        <v>780</v>
      </c>
    </row>
    <row r="45" customFormat="false" ht="15" hidden="false" customHeight="false" outlineLevel="0" collapsed="false">
      <c r="A45" s="6" t="s">
        <v>49</v>
      </c>
      <c r="B45" s="6" t="s">
        <v>2246</v>
      </c>
      <c r="C45" s="10" t="n">
        <v>589322</v>
      </c>
      <c r="D45" s="10" t="n">
        <v>586856</v>
      </c>
      <c r="E45" s="10" t="n">
        <v>2466</v>
      </c>
      <c r="F45" s="14" t="n">
        <v>99.6</v>
      </c>
      <c r="G45" s="10" t="n">
        <v>586856</v>
      </c>
      <c r="H45" s="10" t="n">
        <v>0</v>
      </c>
      <c r="I45" s="10" t="n">
        <v>0</v>
      </c>
      <c r="J45" s="10" t="n">
        <v>64361</v>
      </c>
      <c r="K45" s="10" t="n">
        <v>17478</v>
      </c>
      <c r="L45" s="9" t="s">
        <v>2289</v>
      </c>
      <c r="M45" s="6"/>
      <c r="N45" s="6" t="s">
        <v>54</v>
      </c>
      <c r="O45" s="9" t="s">
        <v>444</v>
      </c>
      <c r="P45" s="9" t="s">
        <v>494</v>
      </c>
    </row>
    <row r="46" customFormat="false" ht="15" hidden="false" customHeight="false" outlineLevel="0" collapsed="false">
      <c r="A46" s="6" t="s">
        <v>254</v>
      </c>
      <c r="B46" s="6" t="s">
        <v>2240</v>
      </c>
      <c r="C46" s="10" t="n">
        <v>57320068</v>
      </c>
      <c r="D46" s="10" t="n">
        <v>79083650</v>
      </c>
      <c r="E46" s="10" t="n">
        <v>-21763582</v>
      </c>
      <c r="F46" s="14" t="n">
        <v>138</v>
      </c>
      <c r="G46" s="10"/>
      <c r="H46" s="10" t="n">
        <v>17800831</v>
      </c>
      <c r="I46" s="10"/>
      <c r="J46" s="10"/>
      <c r="K46" s="10"/>
      <c r="L46" s="9" t="s">
        <v>2289</v>
      </c>
      <c r="M46" s="6"/>
      <c r="N46" s="6" t="s">
        <v>54</v>
      </c>
      <c r="O46" s="9" t="s">
        <v>444</v>
      </c>
      <c r="P46" s="9" t="s">
        <v>1092</v>
      </c>
    </row>
    <row r="47" customFormat="false" ht="15" hidden="false" customHeight="false" outlineLevel="0" collapsed="false">
      <c r="A47" s="6" t="s">
        <v>290</v>
      </c>
      <c r="B47" s="6" t="s">
        <v>2240</v>
      </c>
      <c r="C47" s="10" t="n">
        <v>60495682</v>
      </c>
      <c r="D47" s="10" t="n">
        <v>52147934</v>
      </c>
      <c r="E47" s="10" t="n">
        <v>8347748</v>
      </c>
      <c r="F47" s="14" t="n">
        <v>86.2</v>
      </c>
      <c r="G47" s="10"/>
      <c r="H47" s="10"/>
      <c r="I47" s="10"/>
      <c r="J47" s="10"/>
      <c r="K47" s="10"/>
      <c r="L47" s="9" t="s">
        <v>2289</v>
      </c>
      <c r="M47" s="6"/>
      <c r="N47" s="6" t="s">
        <v>54</v>
      </c>
      <c r="O47" s="9" t="s">
        <v>444</v>
      </c>
      <c r="P47" s="9" t="s">
        <v>654</v>
      </c>
    </row>
    <row r="48" customFormat="false" ht="15" hidden="false" customHeight="false" outlineLevel="0" collapsed="false">
      <c r="A48" s="6" t="s">
        <v>225</v>
      </c>
      <c r="B48" s="6" t="s">
        <v>2240</v>
      </c>
      <c r="C48" s="10" t="n">
        <v>278670266</v>
      </c>
      <c r="D48" s="10" t="n">
        <v>325876501</v>
      </c>
      <c r="E48" s="10" t="n">
        <v>-47206235</v>
      </c>
      <c r="F48" s="14" t="n">
        <v>116.9</v>
      </c>
      <c r="G48" s="10"/>
      <c r="H48" s="10"/>
      <c r="I48" s="10"/>
      <c r="J48" s="10"/>
      <c r="K48" s="10"/>
      <c r="L48" s="9" t="s">
        <v>2289</v>
      </c>
      <c r="M48" s="6"/>
      <c r="N48" s="6" t="s">
        <v>54</v>
      </c>
      <c r="O48" s="9" t="s">
        <v>444</v>
      </c>
      <c r="P48" s="9" t="s">
        <v>1021</v>
      </c>
    </row>
    <row r="49" customFormat="false" ht="15" hidden="false" customHeight="false" outlineLevel="0" collapsed="false">
      <c r="A49" s="6" t="s">
        <v>348</v>
      </c>
      <c r="B49" s="6" t="s">
        <v>2240</v>
      </c>
      <c r="C49" s="10" t="n">
        <v>8130891</v>
      </c>
      <c r="D49" s="10" t="n">
        <v>2708763</v>
      </c>
      <c r="E49" s="10" t="n">
        <v>5422128</v>
      </c>
      <c r="F49" s="14" t="n">
        <v>33.3</v>
      </c>
      <c r="G49" s="10" t="n">
        <v>2708764</v>
      </c>
      <c r="H49" s="10" t="n">
        <v>0</v>
      </c>
      <c r="I49" s="10" t="n">
        <v>0</v>
      </c>
      <c r="J49" s="10"/>
      <c r="K49" s="10"/>
      <c r="L49" s="9" t="s">
        <v>2289</v>
      </c>
      <c r="M49" s="6"/>
      <c r="N49" s="6" t="s">
        <v>54</v>
      </c>
      <c r="O49" s="9" t="s">
        <v>444</v>
      </c>
      <c r="P49" s="9" t="s">
        <v>774</v>
      </c>
    </row>
    <row r="50" customFormat="false" ht="15" hidden="false" customHeight="false" outlineLevel="0" collapsed="false">
      <c r="A50" s="6" t="s">
        <v>345</v>
      </c>
      <c r="B50" s="6" t="s">
        <v>2240</v>
      </c>
      <c r="C50" s="10" t="n">
        <v>313709367</v>
      </c>
      <c r="D50" s="10" t="n">
        <v>353643236</v>
      </c>
      <c r="E50" s="10" t="n">
        <v>-40111937</v>
      </c>
      <c r="F50" s="14" t="n">
        <v>112.7</v>
      </c>
      <c r="G50" s="10"/>
      <c r="H50" s="10"/>
      <c r="I50" s="10"/>
      <c r="J50" s="10"/>
      <c r="K50" s="10"/>
      <c r="L50" s="9" t="s">
        <v>2289</v>
      </c>
      <c r="M50" s="6"/>
      <c r="N50" s="6" t="s">
        <v>54</v>
      </c>
      <c r="O50" s="9" t="s">
        <v>444</v>
      </c>
      <c r="P50" s="9" t="s">
        <v>702</v>
      </c>
    </row>
    <row r="51" customFormat="false" ht="15" hidden="false" customHeight="false" outlineLevel="0" collapsed="false">
      <c r="A51" s="6" t="s">
        <v>61</v>
      </c>
      <c r="B51" s="6" t="s">
        <v>2240</v>
      </c>
      <c r="C51" s="10" t="n">
        <v>6281017</v>
      </c>
      <c r="D51" s="10" t="n">
        <v>6935902</v>
      </c>
      <c r="E51" s="10" t="n">
        <v>-654885</v>
      </c>
      <c r="F51" s="14" t="n">
        <v>110.4</v>
      </c>
      <c r="G51" s="10"/>
      <c r="H51" s="10"/>
      <c r="I51" s="10"/>
      <c r="J51" s="10"/>
      <c r="K51" s="10"/>
      <c r="L51" s="9" t="s">
        <v>2289</v>
      </c>
      <c r="M51" s="6"/>
      <c r="N51" s="6" t="s">
        <v>54</v>
      </c>
      <c r="O51" s="9" t="s">
        <v>444</v>
      </c>
      <c r="P51" s="9" t="s">
        <v>588</v>
      </c>
    </row>
    <row r="52" customFormat="false" ht="15" hidden="false" customHeight="false" outlineLevel="0" collapsed="false">
      <c r="A52" s="6" t="s">
        <v>72</v>
      </c>
      <c r="B52" s="6" t="s">
        <v>2244</v>
      </c>
      <c r="C52" s="10" t="n">
        <v>9813425137</v>
      </c>
      <c r="D52" s="10" t="n">
        <v>9488404508</v>
      </c>
      <c r="E52" s="10" t="n">
        <v>325020629</v>
      </c>
      <c r="F52" s="14" t="n">
        <v>96.7</v>
      </c>
      <c r="G52" s="10"/>
      <c r="H52" s="10"/>
      <c r="I52" s="10"/>
      <c r="J52" s="10"/>
      <c r="K52" s="10"/>
      <c r="L52" s="9" t="s">
        <v>2289</v>
      </c>
      <c r="M52" s="6"/>
      <c r="N52" s="6" t="s">
        <v>54</v>
      </c>
      <c r="O52" s="9" t="s">
        <v>444</v>
      </c>
      <c r="P52" s="9" t="s">
        <v>864</v>
      </c>
    </row>
    <row r="53" customFormat="false" ht="15" hidden="false" customHeight="false" outlineLevel="0" collapsed="false">
      <c r="A53" s="6" t="s">
        <v>335</v>
      </c>
      <c r="B53" s="6" t="s">
        <v>2240</v>
      </c>
      <c r="C53" s="10" t="n">
        <v>17597641</v>
      </c>
      <c r="D53" s="10" t="n">
        <v>24993211</v>
      </c>
      <c r="E53" s="10" t="n">
        <v>-7395570</v>
      </c>
      <c r="F53" s="14" t="n">
        <v>142</v>
      </c>
      <c r="G53" s="10"/>
      <c r="H53" s="10"/>
      <c r="I53" s="10"/>
      <c r="J53" s="10"/>
      <c r="K53" s="10"/>
      <c r="L53" s="9" t="s">
        <v>2289</v>
      </c>
      <c r="M53" s="6"/>
      <c r="N53" s="6" t="s">
        <v>54</v>
      </c>
      <c r="O53" s="9" t="s">
        <v>444</v>
      </c>
      <c r="P53" s="9" t="s">
        <v>642</v>
      </c>
    </row>
    <row r="54" customFormat="false" ht="15" hidden="false" customHeight="false" outlineLevel="0" collapsed="false">
      <c r="A54" s="6" t="s">
        <v>114</v>
      </c>
      <c r="B54" s="6" t="s">
        <v>2240</v>
      </c>
      <c r="C54" s="10" t="n">
        <v>6769175</v>
      </c>
      <c r="D54" s="10" t="n">
        <v>6585168</v>
      </c>
      <c r="E54" s="10" t="n">
        <v>184007</v>
      </c>
      <c r="F54" s="14" t="n">
        <v>97.3</v>
      </c>
      <c r="G54" s="10" t="n">
        <v>6585168</v>
      </c>
      <c r="H54" s="10" t="n">
        <v>0</v>
      </c>
      <c r="I54" s="10" t="n">
        <v>0</v>
      </c>
      <c r="J54" s="10"/>
      <c r="K54" s="10"/>
      <c r="L54" s="9" t="s">
        <v>2289</v>
      </c>
      <c r="M54" s="6"/>
      <c r="N54" s="6" t="s">
        <v>54</v>
      </c>
      <c r="O54" s="9" t="s">
        <v>444</v>
      </c>
      <c r="P54" s="9" t="s">
        <v>816</v>
      </c>
    </row>
    <row r="55" customFormat="false" ht="15" hidden="false" customHeight="false" outlineLevel="0" collapsed="false">
      <c r="A55" s="6" t="s">
        <v>228</v>
      </c>
      <c r="B55" s="6" t="s">
        <v>2240</v>
      </c>
      <c r="C55" s="10" t="n">
        <v>163961760</v>
      </c>
      <c r="D55" s="10" t="n">
        <v>137466995</v>
      </c>
      <c r="E55" s="10" t="n">
        <v>26494765</v>
      </c>
      <c r="F55" s="14" t="n">
        <v>83.8</v>
      </c>
      <c r="G55" s="10" t="n">
        <v>114044264</v>
      </c>
      <c r="H55" s="10" t="n">
        <v>23422731</v>
      </c>
      <c r="I55" s="10" t="n">
        <v>0</v>
      </c>
      <c r="J55" s="10" t="n">
        <v>37856229</v>
      </c>
      <c r="K55" s="10" t="n">
        <v>58480000</v>
      </c>
      <c r="L55" s="9" t="s">
        <v>2289</v>
      </c>
      <c r="M55" s="6"/>
      <c r="N55" s="6" t="s">
        <v>54</v>
      </c>
      <c r="O55" s="9" t="s">
        <v>444</v>
      </c>
      <c r="P55" s="9" t="s">
        <v>1065</v>
      </c>
    </row>
    <row r="56" customFormat="false" ht="15" hidden="false" customHeight="false" outlineLevel="0" collapsed="false">
      <c r="A56" s="6" t="s">
        <v>365</v>
      </c>
      <c r="B56" s="6" t="s">
        <v>2240</v>
      </c>
      <c r="C56" s="10" t="n">
        <v>25771143</v>
      </c>
      <c r="D56" s="10" t="n">
        <v>26522473</v>
      </c>
      <c r="E56" s="10" t="n">
        <v>-751330</v>
      </c>
      <c r="F56" s="14" t="n">
        <v>102.9</v>
      </c>
      <c r="G56" s="10"/>
      <c r="H56" s="10"/>
      <c r="I56" s="10"/>
      <c r="J56" s="10"/>
      <c r="K56" s="10"/>
      <c r="L56" s="9" t="s">
        <v>2289</v>
      </c>
      <c r="M56" s="6"/>
      <c r="N56" s="6" t="s">
        <v>54</v>
      </c>
      <c r="O56" s="9" t="s">
        <v>444</v>
      </c>
      <c r="P56" s="9" t="s">
        <v>660</v>
      </c>
    </row>
    <row r="57" customFormat="false" ht="15" hidden="false" customHeight="false" outlineLevel="0" collapsed="false">
      <c r="A57" s="6" t="s">
        <v>85</v>
      </c>
      <c r="B57" s="6" t="s">
        <v>2244</v>
      </c>
      <c r="C57" s="10" t="n">
        <v>3160813382</v>
      </c>
      <c r="D57" s="10" t="n">
        <v>2391340126</v>
      </c>
      <c r="E57" s="10" t="n">
        <v>769473256</v>
      </c>
      <c r="F57" s="14" t="n">
        <v>75.7</v>
      </c>
      <c r="G57" s="10"/>
      <c r="H57" s="10"/>
      <c r="I57" s="10"/>
      <c r="J57" s="10"/>
      <c r="K57" s="10"/>
      <c r="L57" s="9" t="s">
        <v>2289</v>
      </c>
      <c r="M57" s="6"/>
      <c r="N57" s="6" t="s">
        <v>54</v>
      </c>
      <c r="O57" s="9" t="s">
        <v>444</v>
      </c>
      <c r="P57" s="9" t="s">
        <v>876</v>
      </c>
    </row>
    <row r="58" customFormat="false" ht="15" hidden="false" customHeight="false" outlineLevel="0" collapsed="false">
      <c r="A58" s="6" t="s">
        <v>247</v>
      </c>
      <c r="B58" s="6" t="s">
        <v>2246</v>
      </c>
      <c r="C58" s="10" t="n">
        <v>481004</v>
      </c>
      <c r="D58" s="10" t="n">
        <v>617371</v>
      </c>
      <c r="E58" s="10" t="n">
        <v>-136367</v>
      </c>
      <c r="F58" s="14" t="n">
        <v>128.4</v>
      </c>
      <c r="G58" s="10" t="n">
        <v>617371</v>
      </c>
      <c r="H58" s="10" t="n">
        <v>0</v>
      </c>
      <c r="I58" s="10" t="n">
        <v>0</v>
      </c>
      <c r="J58" s="10" t="n">
        <v>71330</v>
      </c>
      <c r="K58" s="10" t="n">
        <v>49267</v>
      </c>
      <c r="L58" s="9" t="s">
        <v>2290</v>
      </c>
      <c r="M58" s="6"/>
      <c r="N58" s="6" t="s">
        <v>54</v>
      </c>
      <c r="O58" s="9" t="s">
        <v>444</v>
      </c>
      <c r="P58" s="9" t="s">
        <v>552</v>
      </c>
    </row>
    <row r="59" customFormat="false" ht="15" hidden="false" customHeight="false" outlineLevel="0" collapsed="false">
      <c r="A59" s="6" t="s">
        <v>377</v>
      </c>
      <c r="B59" s="6" t="s">
        <v>2240</v>
      </c>
      <c r="C59" s="10" t="n">
        <v>10908832</v>
      </c>
      <c r="D59" s="10" t="n">
        <v>10402226</v>
      </c>
      <c r="E59" s="10" t="n">
        <v>506606</v>
      </c>
      <c r="F59" s="14" t="n">
        <v>95.4</v>
      </c>
      <c r="G59" s="10" t="n">
        <v>10402226</v>
      </c>
      <c r="H59" s="10" t="n">
        <v>0</v>
      </c>
      <c r="I59" s="10" t="n">
        <v>0</v>
      </c>
      <c r="J59" s="10"/>
      <c r="K59" s="10"/>
      <c r="L59" s="9" t="s">
        <v>2289</v>
      </c>
      <c r="M59" s="6"/>
      <c r="N59" s="6" t="s">
        <v>54</v>
      </c>
      <c r="O59" s="9" t="s">
        <v>444</v>
      </c>
      <c r="P59" s="9" t="s">
        <v>684</v>
      </c>
    </row>
    <row r="60" customFormat="false" ht="15" hidden="false" customHeight="false" outlineLevel="0" collapsed="false">
      <c r="A60" s="6" t="s">
        <v>231</v>
      </c>
      <c r="B60" s="6" t="s">
        <v>2240</v>
      </c>
      <c r="C60" s="10" t="n">
        <v>96073122</v>
      </c>
      <c r="D60" s="10" t="n">
        <v>99258875</v>
      </c>
      <c r="E60" s="10" t="n">
        <v>-3185753</v>
      </c>
      <c r="F60" s="14" t="n">
        <v>103.3</v>
      </c>
      <c r="G60" s="10"/>
      <c r="H60" s="10"/>
      <c r="I60" s="10"/>
      <c r="J60" s="10" t="n">
        <v>1990245</v>
      </c>
      <c r="K60" s="10"/>
      <c r="L60" s="9" t="s">
        <v>2290</v>
      </c>
      <c r="M60" s="6"/>
      <c r="N60" s="9" t="s">
        <v>124</v>
      </c>
      <c r="O60" s="9" t="s">
        <v>444</v>
      </c>
      <c r="P60" s="9" t="s">
        <v>488</v>
      </c>
    </row>
    <row r="61" customFormat="false" ht="15" hidden="false" customHeight="false" outlineLevel="0" collapsed="false">
      <c r="A61" s="6" t="s">
        <v>402</v>
      </c>
      <c r="B61" s="6" t="s">
        <v>2240</v>
      </c>
      <c r="C61" s="10" t="n">
        <v>50367480</v>
      </c>
      <c r="D61" s="10" t="n">
        <v>50017653</v>
      </c>
      <c r="E61" s="10" t="n">
        <v>349827</v>
      </c>
      <c r="F61" s="14" t="n">
        <v>99.3</v>
      </c>
      <c r="G61" s="10"/>
      <c r="H61" s="10"/>
      <c r="I61" s="10"/>
      <c r="J61" s="10"/>
      <c r="K61" s="10"/>
      <c r="L61" s="9" t="s">
        <v>2289</v>
      </c>
      <c r="M61" s="6"/>
      <c r="N61" s="9" t="s">
        <v>406</v>
      </c>
      <c r="O61" s="9" t="s">
        <v>1119</v>
      </c>
      <c r="P61" s="9" t="s">
        <v>1120</v>
      </c>
    </row>
    <row r="62" customFormat="false" ht="15" hidden="false" customHeight="false" outlineLevel="0" collapsed="false">
      <c r="A62" s="6" t="s">
        <v>266</v>
      </c>
      <c r="B62" s="6" t="s">
        <v>2240</v>
      </c>
      <c r="C62" s="10" t="n">
        <v>201003491</v>
      </c>
      <c r="D62" s="10" t="n">
        <v>220179312</v>
      </c>
      <c r="E62" s="10" t="n">
        <v>-19175821</v>
      </c>
      <c r="F62" s="14" t="n">
        <v>109.5</v>
      </c>
      <c r="G62" s="10" t="n">
        <v>124307</v>
      </c>
      <c r="H62" s="10" t="n">
        <v>220055005</v>
      </c>
      <c r="I62" s="10" t="n">
        <v>0</v>
      </c>
      <c r="J62" s="10" t="n">
        <v>31150000</v>
      </c>
      <c r="K62" s="10"/>
      <c r="L62" s="9" t="s">
        <v>2289</v>
      </c>
      <c r="M62" s="6"/>
      <c r="N62" s="6" t="s">
        <v>54</v>
      </c>
      <c r="O62" s="9" t="s">
        <v>444</v>
      </c>
      <c r="P62" s="9" t="s">
        <v>630</v>
      </c>
    </row>
    <row r="63" customFormat="false" ht="15" hidden="false" customHeight="false" outlineLevel="0" collapsed="false">
      <c r="A63" s="6" t="s">
        <v>352</v>
      </c>
      <c r="B63" s="6" t="s">
        <v>2240</v>
      </c>
      <c r="C63" s="10" t="n">
        <v>12284398</v>
      </c>
      <c r="D63" s="10" t="n">
        <v>9470857</v>
      </c>
      <c r="E63" s="10" t="n">
        <v>2813541</v>
      </c>
      <c r="F63" s="14" t="n">
        <v>77.1</v>
      </c>
      <c r="G63" s="10"/>
      <c r="H63" s="10"/>
      <c r="I63" s="10"/>
      <c r="J63" s="10"/>
      <c r="K63" s="10"/>
      <c r="L63" s="9" t="s">
        <v>2289</v>
      </c>
      <c r="M63" s="6"/>
      <c r="N63" s="6" t="s">
        <v>54</v>
      </c>
      <c r="O63" s="9" t="s">
        <v>444</v>
      </c>
      <c r="P63" s="9" t="s">
        <v>810</v>
      </c>
    </row>
    <row r="64" customFormat="false" ht="15" hidden="false" customHeight="false" outlineLevel="0" collapsed="false">
      <c r="A64" s="6" t="s">
        <v>269</v>
      </c>
      <c r="B64" s="6" t="s">
        <v>2240</v>
      </c>
      <c r="C64" s="10" t="n">
        <v>13423798</v>
      </c>
      <c r="D64" s="10" t="n">
        <v>8834403</v>
      </c>
      <c r="E64" s="10" t="n">
        <v>4589395</v>
      </c>
      <c r="F64" s="14" t="n">
        <v>65.8</v>
      </c>
      <c r="G64" s="10" t="n">
        <v>3496073</v>
      </c>
      <c r="H64" s="10" t="n">
        <v>5338330</v>
      </c>
      <c r="I64" s="10" t="n">
        <v>0</v>
      </c>
      <c r="J64" s="10" t="n">
        <v>1800000</v>
      </c>
      <c r="K64" s="10"/>
      <c r="L64" s="9" t="s">
        <v>2289</v>
      </c>
      <c r="M64" s="6"/>
      <c r="N64" s="6" t="s">
        <v>54</v>
      </c>
      <c r="O64" s="9" t="s">
        <v>444</v>
      </c>
      <c r="P64" s="9" t="s">
        <v>576</v>
      </c>
    </row>
    <row r="65" customFormat="false" ht="15" hidden="false" customHeight="false" outlineLevel="0" collapsed="false">
      <c r="A65" s="6" t="s">
        <v>356</v>
      </c>
      <c r="B65" s="6" t="s">
        <v>2246</v>
      </c>
      <c r="C65" s="10" t="n">
        <v>2234226</v>
      </c>
      <c r="D65" s="10" t="n">
        <v>2416482</v>
      </c>
      <c r="E65" s="10" t="n">
        <v>-182256</v>
      </c>
      <c r="F65" s="14" t="n">
        <v>108.2</v>
      </c>
      <c r="G65" s="10"/>
      <c r="H65" s="10"/>
      <c r="I65" s="10"/>
      <c r="J65" s="10"/>
      <c r="K65" s="10"/>
      <c r="L65" s="9" t="s">
        <v>2289</v>
      </c>
      <c r="M65" s="6"/>
      <c r="N65" s="6" t="s">
        <v>54</v>
      </c>
      <c r="O65" s="9" t="s">
        <v>444</v>
      </c>
      <c r="P65" s="9" t="s">
        <v>500</v>
      </c>
    </row>
    <row r="66" customFormat="false" ht="15" hidden="false" customHeight="false" outlineLevel="0" collapsed="false">
      <c r="A66" s="6" t="s">
        <v>293</v>
      </c>
      <c r="B66" s="6" t="s">
        <v>2240</v>
      </c>
      <c r="C66" s="10" t="n">
        <v>16235870</v>
      </c>
      <c r="D66" s="10" t="n">
        <v>17849688</v>
      </c>
      <c r="E66" s="10" t="n">
        <v>-1613818</v>
      </c>
      <c r="F66" s="14" t="n">
        <v>109.9</v>
      </c>
      <c r="G66" s="10"/>
      <c r="H66" s="10"/>
      <c r="I66" s="10"/>
      <c r="J66" s="10"/>
      <c r="K66" s="10"/>
      <c r="L66" s="9" t="s">
        <v>2289</v>
      </c>
      <c r="M66" s="6"/>
      <c r="N66" s="6" t="s">
        <v>54</v>
      </c>
      <c r="O66" s="9" t="s">
        <v>444</v>
      </c>
      <c r="P66" s="9" t="s">
        <v>582</v>
      </c>
    </row>
    <row r="67" customFormat="false" ht="15" hidden="false" customHeight="false" outlineLevel="0" collapsed="false">
      <c r="A67" s="9" t="s">
        <v>411</v>
      </c>
      <c r="B67" s="6" t="s">
        <v>2240</v>
      </c>
      <c r="C67" s="10" t="n">
        <v>115998089</v>
      </c>
      <c r="D67" s="10" t="n">
        <v>26187252</v>
      </c>
      <c r="E67" s="10" t="n">
        <v>89810837</v>
      </c>
      <c r="F67" s="14" t="n">
        <v>22.6</v>
      </c>
      <c r="G67" s="10"/>
      <c r="H67" s="10"/>
      <c r="I67" s="10"/>
      <c r="J67" s="10"/>
      <c r="K67" s="10"/>
      <c r="L67" s="9" t="s">
        <v>2289</v>
      </c>
      <c r="M67" s="6"/>
      <c r="N67" s="6" t="s">
        <v>54</v>
      </c>
      <c r="O67" s="9" t="s">
        <v>444</v>
      </c>
      <c r="P67" s="9" t="s">
        <v>1142</v>
      </c>
    </row>
    <row r="68" customFormat="false" ht="15" hidden="false" customHeight="false" outlineLevel="0" collapsed="false">
      <c r="A68" s="6" t="s">
        <v>423</v>
      </c>
      <c r="B68" s="6" t="s">
        <v>2244</v>
      </c>
      <c r="C68" s="10" t="n">
        <v>21592733558</v>
      </c>
      <c r="D68" s="10" t="n">
        <v>25058326533</v>
      </c>
      <c r="E68" s="10" t="n">
        <v>-3465592975</v>
      </c>
      <c r="F68" s="14" t="n">
        <v>116.1</v>
      </c>
      <c r="G68" s="10"/>
      <c r="H68" s="10"/>
      <c r="I68" s="10"/>
      <c r="J68" s="10"/>
      <c r="K68" s="10"/>
      <c r="L68" s="9" t="s">
        <v>2289</v>
      </c>
      <c r="M68" s="6"/>
      <c r="N68" s="9" t="s">
        <v>124</v>
      </c>
      <c r="O68" s="9" t="s">
        <v>444</v>
      </c>
      <c r="P68" s="9" t="s">
        <v>600</v>
      </c>
    </row>
    <row r="69" customFormat="false" ht="15" hidden="false" customHeight="false" outlineLevel="0" collapsed="false">
      <c r="A69" s="6" t="s">
        <v>150</v>
      </c>
      <c r="B69" s="6" t="s">
        <v>2240</v>
      </c>
      <c r="C69" s="10" t="n">
        <v>2788532</v>
      </c>
      <c r="D69" s="10" t="n">
        <v>3037094</v>
      </c>
      <c r="E69" s="10" t="n">
        <v>-248563</v>
      </c>
      <c r="F69" s="14" t="n">
        <v>108.9</v>
      </c>
      <c r="G69" s="10" t="n">
        <v>3037094</v>
      </c>
      <c r="H69" s="10" t="n">
        <v>0</v>
      </c>
      <c r="I69" s="10" t="n">
        <v>0</v>
      </c>
      <c r="J69" s="10"/>
      <c r="K69" s="10"/>
      <c r="L69" s="9" t="s">
        <v>2289</v>
      </c>
      <c r="M69" s="6"/>
      <c r="N69" s="6" t="s">
        <v>54</v>
      </c>
      <c r="O69" s="9" t="s">
        <v>444</v>
      </c>
      <c r="P69" s="9" t="s">
        <v>858</v>
      </c>
    </row>
    <row r="70" customFormat="false" ht="15" hidden="false" customHeight="false" outlineLevel="0" collapsed="false">
      <c r="A70" s="9" t="s">
        <v>414</v>
      </c>
      <c r="B70" s="6" t="s">
        <v>2240</v>
      </c>
      <c r="C70" s="10" t="n">
        <v>1334379</v>
      </c>
      <c r="D70" s="10" t="n">
        <v>1511631</v>
      </c>
      <c r="E70" s="10" t="n">
        <v>-177252</v>
      </c>
      <c r="F70" s="14" t="n">
        <v>113.3</v>
      </c>
      <c r="G70" s="10"/>
      <c r="H70" s="10"/>
      <c r="I70" s="10"/>
      <c r="J70" s="10"/>
      <c r="K70" s="10"/>
      <c r="L70" s="9" t="s">
        <v>2289</v>
      </c>
      <c r="M70" s="6"/>
      <c r="N70" s="6" t="s">
        <v>54</v>
      </c>
      <c r="O70" s="9" t="s">
        <v>444</v>
      </c>
      <c r="P70" s="9" t="s">
        <v>846</v>
      </c>
    </row>
    <row r="71" customFormat="false" ht="15" hidden="false" customHeight="false" outlineLevel="0" collapsed="false">
      <c r="A71" s="6" t="s">
        <v>277</v>
      </c>
      <c r="B71" s="6" t="s">
        <v>2244</v>
      </c>
      <c r="C71" s="10" t="n">
        <v>146083299224</v>
      </c>
      <c r="D71" s="10" t="n">
        <v>54272673371</v>
      </c>
      <c r="E71" s="10" t="n">
        <v>91810625853</v>
      </c>
      <c r="F71" s="14" t="n">
        <v>37.2</v>
      </c>
      <c r="G71" s="10"/>
      <c r="H71" s="10"/>
      <c r="I71" s="10"/>
      <c r="J71" s="10" t="n">
        <v>408040793</v>
      </c>
      <c r="K71" s="10"/>
      <c r="L71" s="9" t="s">
        <v>2289</v>
      </c>
      <c r="M71" s="6"/>
      <c r="N71" s="6" t="s">
        <v>54</v>
      </c>
      <c r="O71" s="9" t="s">
        <v>444</v>
      </c>
      <c r="P71" s="9" t="s">
        <v>786</v>
      </c>
    </row>
    <row r="72" customFormat="false" ht="15" hidden="false" customHeight="false" outlineLevel="0" collapsed="false">
      <c r="A72" s="6" t="s">
        <v>239</v>
      </c>
      <c r="B72" s="6" t="s">
        <v>2240</v>
      </c>
      <c r="C72" s="10" t="n">
        <v>83145662</v>
      </c>
      <c r="D72" s="10" t="n">
        <v>73054997</v>
      </c>
      <c r="E72" s="10" t="n">
        <v>10090665</v>
      </c>
      <c r="F72" s="14" t="n">
        <v>87.9</v>
      </c>
      <c r="G72" s="10" t="n">
        <v>73054997</v>
      </c>
      <c r="H72" s="10" t="n">
        <v>0</v>
      </c>
      <c r="I72" s="10" t="n">
        <v>0</v>
      </c>
      <c r="J72" s="10" t="n">
        <v>18300000</v>
      </c>
      <c r="K72" s="10" t="n">
        <v>26117000</v>
      </c>
      <c r="L72" s="9" t="s">
        <v>2289</v>
      </c>
      <c r="M72" s="6"/>
      <c r="N72" s="6" t="s">
        <v>54</v>
      </c>
      <c r="O72" s="9" t="s">
        <v>444</v>
      </c>
      <c r="P72" s="9" t="s">
        <v>732</v>
      </c>
    </row>
    <row r="73" customFormat="false" ht="15" hidden="false" customHeight="false" outlineLevel="0" collapsed="false">
      <c r="A73" s="6" t="s">
        <v>384</v>
      </c>
      <c r="B73" s="6" t="s">
        <v>2240</v>
      </c>
      <c r="C73" s="10" t="n">
        <v>4678997</v>
      </c>
      <c r="D73" s="10" t="n">
        <v>3531374</v>
      </c>
      <c r="E73" s="10" t="n">
        <v>1147623</v>
      </c>
      <c r="F73" s="14" t="n">
        <v>75.5</v>
      </c>
      <c r="G73" s="10"/>
      <c r="H73" s="10"/>
      <c r="I73" s="10"/>
      <c r="J73" s="10"/>
      <c r="K73" s="10"/>
      <c r="L73" s="9" t="s">
        <v>2289</v>
      </c>
      <c r="M73" s="6"/>
      <c r="N73" s="6" t="s">
        <v>54</v>
      </c>
      <c r="O73" s="9" t="s">
        <v>444</v>
      </c>
      <c r="P73" s="9" t="s">
        <v>690</v>
      </c>
    </row>
    <row r="74" customFormat="false" ht="15" hidden="false" customHeight="false" outlineLevel="0" collapsed="false">
      <c r="A74" s="6" t="s">
        <v>250</v>
      </c>
      <c r="B74" s="6" t="s">
        <v>2240</v>
      </c>
      <c r="C74" s="10" t="n">
        <v>56406961</v>
      </c>
      <c r="D74" s="10" t="n">
        <v>63042720</v>
      </c>
      <c r="E74" s="10" t="n">
        <v>-6635759</v>
      </c>
      <c r="F74" s="14" t="n">
        <v>111.8</v>
      </c>
      <c r="G74" s="10" t="n">
        <v>485667</v>
      </c>
      <c r="H74" s="10" t="n">
        <v>62557053</v>
      </c>
      <c r="I74" s="10" t="n">
        <v>0</v>
      </c>
      <c r="J74" s="10" t="n">
        <v>10420468</v>
      </c>
      <c r="K74" s="10"/>
      <c r="L74" s="9" t="s">
        <v>2290</v>
      </c>
      <c r="M74" s="6"/>
      <c r="N74" s="6" t="s">
        <v>54</v>
      </c>
      <c r="O74" s="9" t="s">
        <v>444</v>
      </c>
      <c r="P74" s="9" t="s">
        <v>523</v>
      </c>
    </row>
    <row r="75" customFormat="false" ht="15" hidden="false" customHeight="false" outlineLevel="0" collapsed="false">
      <c r="A75" s="9" t="s">
        <v>407</v>
      </c>
      <c r="B75" s="6" t="s">
        <v>2246</v>
      </c>
      <c r="C75" s="10" t="n">
        <v>79271</v>
      </c>
      <c r="D75" s="10" t="n">
        <v>84659</v>
      </c>
      <c r="E75" s="10" t="n">
        <v>-5388</v>
      </c>
      <c r="F75" s="14" t="n">
        <v>106.8</v>
      </c>
      <c r="G75" s="10"/>
      <c r="H75" s="10"/>
      <c r="I75" s="10"/>
      <c r="J75" s="10"/>
      <c r="K75" s="10"/>
      <c r="L75" s="9" t="s">
        <v>2289</v>
      </c>
      <c r="M75" s="6"/>
      <c r="N75" s="6" t="s">
        <v>54</v>
      </c>
      <c r="O75" s="9" t="s">
        <v>444</v>
      </c>
      <c r="P75" s="9" t="s">
        <v>612</v>
      </c>
    </row>
    <row r="76" customFormat="false" ht="15" hidden="false" customHeight="false" outlineLevel="0" collapsed="false">
      <c r="A76" s="9" t="s">
        <v>325</v>
      </c>
      <c r="B76" s="6" t="s">
        <v>2240</v>
      </c>
      <c r="C76" s="10" t="n">
        <v>50617221</v>
      </c>
      <c r="D76" s="10" t="n">
        <v>68694959</v>
      </c>
      <c r="E76" s="10" t="n">
        <v>-18077738</v>
      </c>
      <c r="F76" s="14" t="n">
        <v>135.7</v>
      </c>
      <c r="G76" s="10" t="n">
        <v>44724730</v>
      </c>
      <c r="H76" s="10"/>
      <c r="I76" s="10"/>
      <c r="J76" s="10"/>
      <c r="K76" s="10"/>
      <c r="L76" s="9" t="s">
        <v>2289</v>
      </c>
      <c r="M76" s="6"/>
      <c r="N76" s="6" t="s">
        <v>54</v>
      </c>
      <c r="O76" s="9" t="s">
        <v>444</v>
      </c>
      <c r="P76" s="9" t="s">
        <v>513</v>
      </c>
    </row>
    <row r="77" customFormat="false" ht="15" hidden="false" customHeight="false" outlineLevel="0" collapsed="false">
      <c r="A77" s="6" t="s">
        <v>328</v>
      </c>
      <c r="B77" s="6" t="s">
        <v>2240</v>
      </c>
      <c r="C77" s="10" t="n">
        <v>23335410</v>
      </c>
      <c r="D77" s="10" t="n">
        <v>24087372</v>
      </c>
      <c r="E77" s="10" t="n">
        <v>-751962</v>
      </c>
      <c r="F77" s="14" t="n">
        <v>103.2</v>
      </c>
      <c r="G77" s="10"/>
      <c r="H77" s="10"/>
      <c r="I77" s="10"/>
      <c r="J77" s="10"/>
      <c r="K77" s="10"/>
      <c r="L77" s="9" t="s">
        <v>2289</v>
      </c>
      <c r="M77" s="6"/>
      <c r="N77" s="6" t="s">
        <v>54</v>
      </c>
      <c r="O77" s="9" t="s">
        <v>444</v>
      </c>
      <c r="P77" s="9" t="s">
        <v>762</v>
      </c>
    </row>
    <row r="78" customFormat="false" ht="15" hidden="false" customHeight="false" outlineLevel="0" collapsed="false">
      <c r="A78" s="6" t="s">
        <v>308</v>
      </c>
      <c r="B78" s="6" t="s">
        <v>2240</v>
      </c>
      <c r="C78" s="10" t="n">
        <v>7793911</v>
      </c>
      <c r="D78" s="10" t="n">
        <v>8474986</v>
      </c>
      <c r="E78" s="10" t="n">
        <v>-681075</v>
      </c>
      <c r="F78" s="14" t="n">
        <v>108.7</v>
      </c>
      <c r="G78" s="10"/>
      <c r="H78" s="10"/>
      <c r="I78" s="10"/>
      <c r="J78" s="10"/>
      <c r="K78" s="10"/>
      <c r="L78" s="9" t="s">
        <v>2289</v>
      </c>
      <c r="M78" s="6"/>
      <c r="N78" s="9" t="s">
        <v>124</v>
      </c>
      <c r="O78" s="9" t="s">
        <v>444</v>
      </c>
      <c r="P78" s="9" t="s">
        <v>750</v>
      </c>
    </row>
    <row r="79" customFormat="false" ht="15" hidden="false" customHeight="false" outlineLevel="0" collapsed="false">
      <c r="A79" s="6" t="s">
        <v>374</v>
      </c>
      <c r="B79" s="6" t="s">
        <v>2240</v>
      </c>
      <c r="C79" s="10" t="n">
        <v>23716259</v>
      </c>
      <c r="D79" s="10" t="n">
        <v>25169843</v>
      </c>
      <c r="E79" s="10" t="n">
        <v>-1453584</v>
      </c>
      <c r="F79" s="14" t="n">
        <v>106.1</v>
      </c>
      <c r="G79" s="10"/>
      <c r="H79" s="10"/>
      <c r="I79" s="10"/>
      <c r="J79" s="10"/>
      <c r="K79" s="10"/>
      <c r="L79" s="9" t="s">
        <v>2289</v>
      </c>
      <c r="M79" s="6"/>
      <c r="N79" s="6" t="s">
        <v>54</v>
      </c>
      <c r="O79" s="9" t="s">
        <v>444</v>
      </c>
      <c r="P79" s="9" t="s">
        <v>912</v>
      </c>
    </row>
  </sheetData>
  <autoFilter ref="A4:P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6.68"/>
    <col collapsed="false" customWidth="true" hidden="false" outlineLevel="0" max="3" min="3" style="0" width="11.68"/>
    <col collapsed="false" customWidth="true" hidden="false" outlineLevel="0" max="4" min="4" style="0" width="15.02"/>
    <col collapsed="false" customWidth="true" hidden="false" outlineLevel="0" max="6" min="5" style="0" width="10.02"/>
    <col collapsed="false" customWidth="true" hidden="false" outlineLevel="0" max="7" min="7" style="0" width="11.68"/>
    <col collapsed="false" customWidth="true" hidden="false" outlineLevel="0" max="8" min="8" style="0" width="38.39"/>
    <col collapsed="false" customWidth="true" hidden="false" outlineLevel="0" max="9" min="9" style="0" width="16.69"/>
    <col collapsed="false" customWidth="true" hidden="false" outlineLevel="0" max="10" min="10" style="0" width="13.35"/>
  </cols>
  <sheetData>
    <row r="1" customFormat="false" ht="17.9" hidden="false" customHeight="false" outlineLevel="0" collapsed="false">
      <c r="A1" s="1" t="s">
        <v>2293</v>
      </c>
    </row>
    <row r="2" customFormat="false" ht="15" hidden="false" customHeight="false" outlineLevel="0" collapsed="false">
      <c r="A2" s="2" t="s">
        <v>2294</v>
      </c>
    </row>
    <row r="4" customFormat="false" ht="30" hidden="false" customHeight="true" outlineLevel="0" collapsed="false">
      <c r="A4" s="5" t="s">
        <v>38</v>
      </c>
      <c r="B4" s="5" t="s">
        <v>2295</v>
      </c>
      <c r="C4" s="5" t="s">
        <v>2296</v>
      </c>
      <c r="D4" s="5" t="s">
        <v>2297</v>
      </c>
      <c r="E4" s="5" t="s">
        <v>2298</v>
      </c>
      <c r="F4" s="5" t="s">
        <v>2299</v>
      </c>
      <c r="G4" s="5" t="s">
        <v>2300</v>
      </c>
      <c r="H4" s="5" t="s">
        <v>2301</v>
      </c>
      <c r="I4" s="5" t="s">
        <v>2302</v>
      </c>
      <c r="J4" s="5" t="s">
        <v>437</v>
      </c>
    </row>
    <row r="5" customFormat="false" ht="15" hidden="false" customHeight="false" outlineLevel="0" collapsed="false">
      <c r="A5" s="6" t="s">
        <v>142</v>
      </c>
      <c r="B5" s="6" t="s">
        <v>2303</v>
      </c>
      <c r="C5" s="10" t="n">
        <v>9595</v>
      </c>
      <c r="D5" s="10" t="n">
        <v>195738000</v>
      </c>
      <c r="E5" s="9" t="s">
        <v>2304</v>
      </c>
      <c r="F5" s="9" t="s">
        <v>2305</v>
      </c>
      <c r="G5" s="6" t="s">
        <v>2284</v>
      </c>
      <c r="H5" s="6" t="s">
        <v>2306</v>
      </c>
      <c r="I5" s="10" t="n">
        <v>268260</v>
      </c>
      <c r="J5" s="9" t="s">
        <v>2307</v>
      </c>
    </row>
    <row r="6" customFormat="false" ht="15" hidden="false" customHeight="false" outlineLevel="0" collapsed="false">
      <c r="A6" s="6" t="s">
        <v>142</v>
      </c>
      <c r="B6" s="6" t="s">
        <v>2303</v>
      </c>
      <c r="C6" s="10" t="n">
        <v>2000</v>
      </c>
      <c r="D6" s="10" t="n">
        <v>40600000</v>
      </c>
      <c r="E6" s="9" t="s">
        <v>2308</v>
      </c>
      <c r="F6" s="9" t="s">
        <v>2309</v>
      </c>
      <c r="G6" s="6" t="s">
        <v>2284</v>
      </c>
      <c r="H6" s="6" t="s">
        <v>2310</v>
      </c>
      <c r="I6" s="10" t="n">
        <v>258665</v>
      </c>
      <c r="J6" s="9" t="s">
        <v>1724</v>
      </c>
    </row>
    <row r="7" customFormat="false" ht="15" hidden="false" customHeight="false" outlineLevel="0" collapsed="false">
      <c r="A7" s="6" t="s">
        <v>208</v>
      </c>
      <c r="B7" s="6" t="s">
        <v>2303</v>
      </c>
      <c r="C7" s="10" t="n">
        <v>5841</v>
      </c>
      <c r="D7" s="10" t="n">
        <v>5665770000</v>
      </c>
      <c r="E7" s="9" t="s">
        <v>2104</v>
      </c>
      <c r="F7" s="9" t="s">
        <v>2311</v>
      </c>
      <c r="G7" s="6" t="s">
        <v>2284</v>
      </c>
      <c r="H7" s="6" t="s">
        <v>2312</v>
      </c>
      <c r="I7" s="10" t="n">
        <v>1165588</v>
      </c>
      <c r="J7" s="9" t="s">
        <v>1343</v>
      </c>
    </row>
    <row r="8" customFormat="false" ht="15" hidden="false" customHeight="false" outlineLevel="0" collapsed="false">
      <c r="A8" s="6" t="s">
        <v>121</v>
      </c>
      <c r="B8" s="6" t="s">
        <v>2303</v>
      </c>
      <c r="C8" s="10" t="n">
        <v>640500</v>
      </c>
      <c r="D8" s="10" t="n">
        <v>3887835000</v>
      </c>
      <c r="E8" s="9" t="s">
        <v>2313</v>
      </c>
      <c r="F8" s="9" t="s">
        <v>2314</v>
      </c>
      <c r="G8" s="6" t="s">
        <v>2315</v>
      </c>
      <c r="H8" s="6" t="s">
        <v>2316</v>
      </c>
      <c r="I8" s="10" t="n">
        <v>640500</v>
      </c>
      <c r="J8" s="9" t="s">
        <v>1746</v>
      </c>
    </row>
    <row r="9" customFormat="false" ht="15" hidden="false" customHeight="false" outlineLevel="0" collapsed="false">
      <c r="A9" s="6" t="s">
        <v>110</v>
      </c>
      <c r="B9" s="6" t="s">
        <v>2303</v>
      </c>
      <c r="C9" s="10" t="n">
        <v>900000</v>
      </c>
      <c r="D9" s="10" t="n">
        <v>2862900000</v>
      </c>
      <c r="E9" s="9" t="s">
        <v>2317</v>
      </c>
      <c r="F9" s="9" t="s">
        <v>2317</v>
      </c>
      <c r="G9" s="6" t="s">
        <v>2315</v>
      </c>
      <c r="H9" s="6" t="s">
        <v>2318</v>
      </c>
      <c r="I9" s="10" t="n">
        <v>1200000</v>
      </c>
      <c r="J9" s="9" t="s">
        <v>2319</v>
      </c>
    </row>
    <row r="10" customFormat="false" ht="15" hidden="false" customHeight="false" outlineLevel="0" collapsed="false">
      <c r="A10" s="6" t="s">
        <v>110</v>
      </c>
      <c r="B10" s="6" t="s">
        <v>2303</v>
      </c>
      <c r="C10" s="10" t="n">
        <v>300000</v>
      </c>
      <c r="D10" s="10" t="n">
        <v>1015500000</v>
      </c>
      <c r="E10" s="9" t="s">
        <v>2320</v>
      </c>
      <c r="F10" s="9" t="s">
        <v>2321</v>
      </c>
      <c r="G10" s="6" t="s">
        <v>2284</v>
      </c>
      <c r="H10" s="6" t="s">
        <v>2322</v>
      </c>
      <c r="I10" s="10" t="n">
        <v>300000</v>
      </c>
      <c r="J10" s="9" t="s">
        <v>1592</v>
      </c>
    </row>
    <row r="11" customFormat="false" ht="15" hidden="false" customHeight="false" outlineLevel="0" collapsed="false">
      <c r="A11" s="6" t="s">
        <v>362</v>
      </c>
      <c r="B11" s="6" t="s">
        <v>2323</v>
      </c>
      <c r="C11" s="10" t="n">
        <v>4686035</v>
      </c>
      <c r="D11" s="10" t="n">
        <v>50000000000</v>
      </c>
      <c r="E11" s="6"/>
      <c r="F11" s="6"/>
      <c r="G11" s="6"/>
      <c r="H11" s="6" t="s">
        <v>2324</v>
      </c>
      <c r="I11" s="10"/>
      <c r="J11" s="9" t="s">
        <v>2325</v>
      </c>
    </row>
    <row r="12" customFormat="false" ht="15" hidden="false" customHeight="false" outlineLevel="0" collapsed="false">
      <c r="A12" s="6" t="s">
        <v>362</v>
      </c>
      <c r="B12" s="6" t="s">
        <v>2323</v>
      </c>
      <c r="C12" s="10" t="n">
        <v>4686035</v>
      </c>
      <c r="D12" s="10" t="n">
        <v>50000000000</v>
      </c>
      <c r="E12" s="6"/>
      <c r="F12" s="6"/>
      <c r="G12" s="6"/>
      <c r="H12" s="6" t="s">
        <v>2324</v>
      </c>
      <c r="I12" s="10"/>
      <c r="J12" s="9" t="s">
        <v>2326</v>
      </c>
    </row>
    <row r="13" customFormat="false" ht="41" hidden="false" customHeight="false" outlineLevel="0" collapsed="false">
      <c r="A13" s="6" t="s">
        <v>200</v>
      </c>
      <c r="B13" s="6" t="s">
        <v>2303</v>
      </c>
      <c r="C13" s="10" t="n">
        <v>22581</v>
      </c>
      <c r="D13" s="10" t="n">
        <v>19058364000</v>
      </c>
      <c r="E13" s="9" t="s">
        <v>2327</v>
      </c>
      <c r="F13" s="9" t="s">
        <v>2328</v>
      </c>
      <c r="G13" s="6" t="s">
        <v>2284</v>
      </c>
      <c r="H13" s="11" t="s">
        <v>2329</v>
      </c>
      <c r="I13" s="10" t="n">
        <v>261509</v>
      </c>
      <c r="J13" s="9" t="s">
        <v>2330</v>
      </c>
    </row>
    <row r="14" customFormat="false" ht="15" hidden="false" customHeight="false" outlineLevel="0" collapsed="false">
      <c r="A14" s="6" t="s">
        <v>200</v>
      </c>
      <c r="B14" s="6" t="s">
        <v>2303</v>
      </c>
      <c r="C14" s="10" t="n">
        <v>32520</v>
      </c>
      <c r="D14" s="10" t="n">
        <v>6104004000</v>
      </c>
      <c r="E14" s="9" t="s">
        <v>2331</v>
      </c>
      <c r="F14" s="9" t="s">
        <v>1677</v>
      </c>
      <c r="G14" s="6" t="s">
        <v>2284</v>
      </c>
      <c r="H14" s="6" t="s">
        <v>2332</v>
      </c>
      <c r="I14" s="10" t="n">
        <v>1214650</v>
      </c>
      <c r="J14" s="9" t="s">
        <v>1678</v>
      </c>
    </row>
    <row r="15" customFormat="false" ht="15" hidden="false" customHeight="false" outlineLevel="0" collapsed="false">
      <c r="A15" s="6" t="s">
        <v>182</v>
      </c>
      <c r="B15" s="6" t="s">
        <v>2303</v>
      </c>
      <c r="C15" s="10" t="n">
        <v>2163918</v>
      </c>
      <c r="D15" s="10" t="n">
        <v>251447271600</v>
      </c>
      <c r="E15" s="9" t="s">
        <v>2333</v>
      </c>
      <c r="F15" s="9" t="s">
        <v>2333</v>
      </c>
      <c r="G15" s="6" t="s">
        <v>2284</v>
      </c>
      <c r="H15" s="9" t="s">
        <v>2334</v>
      </c>
      <c r="I15" s="10" t="n">
        <v>6973925</v>
      </c>
      <c r="J15" s="9" t="s">
        <v>2335</v>
      </c>
    </row>
    <row r="16" customFormat="false" ht="15" hidden="false" customHeight="false" outlineLevel="0" collapsed="false">
      <c r="A16" s="6" t="s">
        <v>182</v>
      </c>
      <c r="B16" s="6" t="s">
        <v>2303</v>
      </c>
      <c r="C16" s="10" t="n">
        <v>53599</v>
      </c>
      <c r="D16" s="10" t="n">
        <v>9138629500</v>
      </c>
      <c r="E16" s="9" t="s">
        <v>2183</v>
      </c>
      <c r="F16" s="9" t="s">
        <v>2183</v>
      </c>
      <c r="G16" s="6" t="s">
        <v>2284</v>
      </c>
      <c r="H16" s="6" t="s">
        <v>2336</v>
      </c>
      <c r="I16" s="10" t="n">
        <v>1810273</v>
      </c>
      <c r="J16" s="9" t="s">
        <v>1355</v>
      </c>
    </row>
    <row r="17" customFormat="false" ht="15" hidden="false" customHeight="false" outlineLevel="0" collapsed="false">
      <c r="A17" s="6" t="s">
        <v>146</v>
      </c>
      <c r="B17" s="6" t="s">
        <v>2303</v>
      </c>
      <c r="C17" s="10" t="n">
        <v>363457</v>
      </c>
      <c r="D17" s="10" t="n">
        <v>992601067</v>
      </c>
      <c r="E17" s="9" t="s">
        <v>2337</v>
      </c>
      <c r="F17" s="9" t="s">
        <v>2338</v>
      </c>
      <c r="G17" s="6" t="s">
        <v>2315</v>
      </c>
      <c r="H17" s="6" t="s">
        <v>2339</v>
      </c>
      <c r="I17" s="10" t="n">
        <v>713457</v>
      </c>
      <c r="J17" s="9" t="s">
        <v>1752</v>
      </c>
    </row>
    <row r="18" customFormat="false" ht="15" hidden="false" customHeight="false" outlineLevel="0" collapsed="false">
      <c r="A18" s="6" t="s">
        <v>146</v>
      </c>
      <c r="B18" s="6" t="s">
        <v>2303</v>
      </c>
      <c r="C18" s="10" t="n">
        <v>363457</v>
      </c>
      <c r="D18" s="10" t="n">
        <v>992964524</v>
      </c>
      <c r="E18" s="9" t="s">
        <v>2337</v>
      </c>
      <c r="F18" s="9" t="s">
        <v>2338</v>
      </c>
      <c r="G18" s="6" t="s">
        <v>2315</v>
      </c>
      <c r="H18" s="6" t="s">
        <v>2339</v>
      </c>
      <c r="I18" s="10" t="n">
        <v>713457</v>
      </c>
      <c r="J18" s="9" t="s">
        <v>2340</v>
      </c>
    </row>
    <row r="19" customFormat="false" ht="15" hidden="false" customHeight="false" outlineLevel="0" collapsed="false">
      <c r="A19" s="6" t="s">
        <v>204</v>
      </c>
      <c r="B19" s="6" t="s">
        <v>2323</v>
      </c>
      <c r="C19" s="10" t="n">
        <v>37721</v>
      </c>
      <c r="D19" s="10" t="n">
        <v>5107423400</v>
      </c>
      <c r="E19" s="6"/>
      <c r="F19" s="6"/>
      <c r="G19" s="6"/>
      <c r="H19" s="6" t="s">
        <v>24</v>
      </c>
      <c r="I19" s="10"/>
      <c r="J19" s="9" t="s">
        <v>2341</v>
      </c>
    </row>
    <row r="20" customFormat="false" ht="15" hidden="false" customHeight="false" outlineLevel="0" collapsed="false">
      <c r="A20" s="6" t="s">
        <v>204</v>
      </c>
      <c r="B20" s="6" t="s">
        <v>2323</v>
      </c>
      <c r="C20" s="10" t="n">
        <v>37721</v>
      </c>
      <c r="D20" s="10" t="n">
        <v>5107423400</v>
      </c>
      <c r="E20" s="6"/>
      <c r="F20" s="6"/>
      <c r="G20" s="6"/>
      <c r="H20" s="6" t="s">
        <v>24</v>
      </c>
      <c r="I20" s="10"/>
      <c r="J20" s="9" t="s">
        <v>2342</v>
      </c>
    </row>
    <row r="21" customFormat="false" ht="15" hidden="false" customHeight="false" outlineLevel="0" collapsed="false">
      <c r="A21" s="6" t="s">
        <v>217</v>
      </c>
      <c r="B21" s="6" t="s">
        <v>2323</v>
      </c>
      <c r="C21" s="10" t="n">
        <v>3898635</v>
      </c>
      <c r="D21" s="10" t="n">
        <v>200000000000</v>
      </c>
      <c r="E21" s="6"/>
      <c r="F21" s="6"/>
      <c r="G21" s="6"/>
      <c r="H21" s="6" t="s">
        <v>2343</v>
      </c>
      <c r="I21" s="10" t="n">
        <v>12811774</v>
      </c>
      <c r="J21" s="9" t="s">
        <v>1367</v>
      </c>
    </row>
    <row r="22" customFormat="false" ht="15" hidden="false" customHeight="false" outlineLevel="0" collapsed="false">
      <c r="A22" s="6" t="s">
        <v>217</v>
      </c>
      <c r="B22" s="6" t="s">
        <v>2323</v>
      </c>
      <c r="C22" s="10" t="n">
        <v>3898635</v>
      </c>
      <c r="D22" s="10" t="n">
        <v>200000000000</v>
      </c>
      <c r="E22" s="6"/>
      <c r="F22" s="6"/>
      <c r="G22" s="6"/>
      <c r="H22" s="6" t="s">
        <v>2343</v>
      </c>
      <c r="I22" s="10" t="n">
        <v>12811774</v>
      </c>
      <c r="J22" s="9" t="s">
        <v>2344</v>
      </c>
    </row>
    <row r="23" customFormat="false" ht="15" hidden="false" customHeight="false" outlineLevel="0" collapsed="false">
      <c r="A23" s="6" t="s">
        <v>341</v>
      </c>
      <c r="B23" s="6" t="s">
        <v>2303</v>
      </c>
      <c r="C23" s="10" t="n">
        <v>82059</v>
      </c>
      <c r="D23" s="10" t="n">
        <v>1001119800</v>
      </c>
      <c r="E23" s="9" t="s">
        <v>2345</v>
      </c>
      <c r="F23" s="9" t="s">
        <v>2345</v>
      </c>
      <c r="G23" s="6" t="s">
        <v>2284</v>
      </c>
      <c r="H23" s="6" t="s">
        <v>2346</v>
      </c>
      <c r="I23" s="10" t="n">
        <v>14700000</v>
      </c>
      <c r="J23" s="9" t="s">
        <v>1385</v>
      </c>
    </row>
    <row r="24" customFormat="false" ht="15" hidden="false" customHeight="false" outlineLevel="0" collapsed="false">
      <c r="A24" s="6" t="s">
        <v>125</v>
      </c>
      <c r="B24" s="6" t="s">
        <v>2303</v>
      </c>
      <c r="C24" s="10" t="n">
        <v>1000000</v>
      </c>
      <c r="D24" s="10" t="n">
        <v>6906000000</v>
      </c>
      <c r="E24" s="9" t="s">
        <v>2347</v>
      </c>
      <c r="F24" s="9" t="s">
        <v>2347</v>
      </c>
      <c r="G24" s="6" t="s">
        <v>2284</v>
      </c>
      <c r="H24" s="6" t="s">
        <v>2348</v>
      </c>
      <c r="I24" s="10" t="n">
        <v>1211886</v>
      </c>
      <c r="J24" s="9" t="s">
        <v>2349</v>
      </c>
    </row>
    <row r="25" customFormat="false" ht="15" hidden="false" customHeight="false" outlineLevel="0" collapsed="false">
      <c r="A25" s="6" t="s">
        <v>125</v>
      </c>
      <c r="B25" s="6" t="s">
        <v>2303</v>
      </c>
      <c r="C25" s="10" t="n">
        <v>211886</v>
      </c>
      <c r="D25" s="10" t="n">
        <v>1315812060</v>
      </c>
      <c r="E25" s="9" t="s">
        <v>2350</v>
      </c>
      <c r="F25" s="9" t="s">
        <v>2217</v>
      </c>
      <c r="G25" s="6" t="s">
        <v>2284</v>
      </c>
      <c r="H25" s="6" t="s">
        <v>2351</v>
      </c>
      <c r="I25" s="10" t="n">
        <v>211886</v>
      </c>
      <c r="J25" s="9" t="s">
        <v>1491</v>
      </c>
    </row>
    <row r="26" customFormat="false" ht="15" hidden="false" customHeight="false" outlineLevel="0" collapsed="false">
      <c r="A26" s="6" t="s">
        <v>222</v>
      </c>
      <c r="B26" s="6" t="s">
        <v>2303</v>
      </c>
      <c r="C26" s="10" t="n">
        <v>44260</v>
      </c>
      <c r="D26" s="10" t="n">
        <v>39170100000</v>
      </c>
      <c r="E26" s="9" t="s">
        <v>2352</v>
      </c>
      <c r="F26" s="9" t="s">
        <v>2352</v>
      </c>
      <c r="G26" s="6" t="s">
        <v>2284</v>
      </c>
      <c r="H26" s="6" t="s">
        <v>2353</v>
      </c>
      <c r="I26" s="10" t="n">
        <v>2437320</v>
      </c>
      <c r="J26" s="9" t="s">
        <v>1326</v>
      </c>
    </row>
    <row r="27" customFormat="false" ht="15" hidden="false" customHeight="false" outlineLevel="0" collapsed="false">
      <c r="A27" s="6" t="s">
        <v>77</v>
      </c>
      <c r="B27" s="6" t="s">
        <v>2303</v>
      </c>
      <c r="C27" s="10" t="n">
        <v>9381</v>
      </c>
      <c r="D27" s="10" t="n">
        <v>93997620</v>
      </c>
      <c r="E27" s="9" t="s">
        <v>2354</v>
      </c>
      <c r="F27" s="9" t="s">
        <v>2355</v>
      </c>
      <c r="G27" s="6" t="s">
        <v>2284</v>
      </c>
      <c r="H27" s="6" t="s">
        <v>2356</v>
      </c>
      <c r="I27" s="10" t="n">
        <v>4031000</v>
      </c>
      <c r="J27" s="9" t="s">
        <v>2357</v>
      </c>
    </row>
    <row r="28" customFormat="false" ht="15" hidden="false" customHeight="false" outlineLevel="0" collapsed="false">
      <c r="A28" s="6" t="s">
        <v>77</v>
      </c>
      <c r="B28" s="6" t="s">
        <v>2303</v>
      </c>
      <c r="C28" s="10" t="n">
        <v>25890</v>
      </c>
      <c r="D28" s="10" t="n">
        <v>311715600</v>
      </c>
      <c r="E28" s="9" t="s">
        <v>2358</v>
      </c>
      <c r="F28" s="9" t="s">
        <v>2309</v>
      </c>
      <c r="G28" s="6" t="s">
        <v>2284</v>
      </c>
      <c r="H28" s="6" t="s">
        <v>2359</v>
      </c>
      <c r="I28" s="10" t="n">
        <v>4021619</v>
      </c>
      <c r="J28" s="9" t="s">
        <v>1553</v>
      </c>
    </row>
    <row r="29" customFormat="false" ht="15" hidden="false" customHeight="false" outlineLevel="0" collapsed="false">
      <c r="A29" s="6" t="s">
        <v>117</v>
      </c>
      <c r="B29" s="6" t="s">
        <v>2303</v>
      </c>
      <c r="C29" s="10" t="n">
        <v>286740</v>
      </c>
      <c r="D29" s="10" t="n">
        <v>1053769500</v>
      </c>
      <c r="E29" s="9" t="s">
        <v>2360</v>
      </c>
      <c r="F29" s="9" t="s">
        <v>2360</v>
      </c>
      <c r="G29" s="6" t="s">
        <v>2284</v>
      </c>
      <c r="H29" s="6" t="s">
        <v>2361</v>
      </c>
      <c r="I29" s="10" t="n">
        <v>313050</v>
      </c>
      <c r="J29" s="9" t="s">
        <v>1535</v>
      </c>
    </row>
    <row r="30" customFormat="false" ht="15" hidden="false" customHeight="false" outlineLevel="0" collapsed="false">
      <c r="A30" s="6" t="s">
        <v>101</v>
      </c>
      <c r="B30" s="6" t="s">
        <v>2323</v>
      </c>
      <c r="C30" s="10" t="n">
        <v>733138</v>
      </c>
      <c r="D30" s="10" t="n">
        <v>25000000000</v>
      </c>
      <c r="E30" s="6"/>
      <c r="F30" s="6"/>
      <c r="G30" s="6"/>
      <c r="H30" s="6" t="s">
        <v>2362</v>
      </c>
      <c r="I30" s="10" t="n">
        <v>748503</v>
      </c>
      <c r="J30" s="9" t="s">
        <v>1641</v>
      </c>
    </row>
    <row r="31" customFormat="false" ht="15" hidden="false" customHeight="false" outlineLevel="0" collapsed="false">
      <c r="A31" s="6" t="s">
        <v>101</v>
      </c>
      <c r="B31" s="6" t="s">
        <v>2323</v>
      </c>
      <c r="C31" s="10" t="n">
        <v>733138</v>
      </c>
      <c r="D31" s="10" t="n">
        <v>25000000000</v>
      </c>
      <c r="E31" s="6"/>
      <c r="F31" s="6"/>
      <c r="G31" s="6"/>
      <c r="H31" s="6" t="s">
        <v>2362</v>
      </c>
      <c r="I31" s="10" t="n">
        <v>748503</v>
      </c>
      <c r="J31" s="9" t="s">
        <v>2363</v>
      </c>
    </row>
    <row r="32" customFormat="false" ht="15" hidden="false" customHeight="false" outlineLevel="0" collapsed="false">
      <c r="A32" s="6" t="s">
        <v>169</v>
      </c>
      <c r="B32" s="6" t="s">
        <v>2303</v>
      </c>
      <c r="C32" s="10" t="n">
        <v>1083434</v>
      </c>
      <c r="D32" s="10" t="n">
        <v>344532012000</v>
      </c>
      <c r="E32" s="9" t="s">
        <v>2364</v>
      </c>
      <c r="F32" s="9" t="s">
        <v>2364</v>
      </c>
      <c r="G32" s="6" t="s">
        <v>2284</v>
      </c>
      <c r="H32" s="6" t="s">
        <v>2332</v>
      </c>
      <c r="I32" s="10" t="n">
        <v>82086705</v>
      </c>
      <c r="J32" s="9" t="s">
        <v>2365</v>
      </c>
    </row>
    <row r="33" customFormat="false" ht="15" hidden="false" customHeight="false" outlineLevel="0" collapsed="false">
      <c r="A33" s="6" t="s">
        <v>169</v>
      </c>
      <c r="B33" s="6" t="s">
        <v>2303</v>
      </c>
      <c r="C33" s="10" t="n">
        <v>1132477</v>
      </c>
      <c r="D33" s="10" t="n">
        <v>322755945000</v>
      </c>
      <c r="E33" s="9" t="s">
        <v>2366</v>
      </c>
      <c r="F33" s="9" t="s">
        <v>2366</v>
      </c>
      <c r="G33" s="6" t="s">
        <v>2284</v>
      </c>
      <c r="H33" s="6" t="s">
        <v>2367</v>
      </c>
      <c r="I33" s="10" t="n">
        <v>81003271</v>
      </c>
      <c r="J33" s="9" t="s">
        <v>1314</v>
      </c>
    </row>
    <row r="34" customFormat="false" ht="15" hidden="false" customHeight="false" outlineLevel="0" collapsed="false">
      <c r="A34" s="6" t="s">
        <v>243</v>
      </c>
      <c r="B34" s="6" t="s">
        <v>2303</v>
      </c>
      <c r="C34" s="10" t="n">
        <v>74887</v>
      </c>
      <c r="D34" s="10" t="n">
        <v>102744964000</v>
      </c>
      <c r="E34" s="9" t="s">
        <v>2368</v>
      </c>
      <c r="F34" s="9" t="s">
        <v>2333</v>
      </c>
      <c r="G34" s="6" t="s">
        <v>2315</v>
      </c>
      <c r="H34" s="6" t="s">
        <v>2369</v>
      </c>
      <c r="I34" s="10" t="n">
        <v>74478</v>
      </c>
      <c r="J34" s="9" t="s">
        <v>1659</v>
      </c>
    </row>
    <row r="35" customFormat="false" ht="15" hidden="false" customHeight="false" outlineLevel="0" collapsed="false">
      <c r="A35" s="6" t="s">
        <v>283</v>
      </c>
      <c r="B35" s="6" t="s">
        <v>2303</v>
      </c>
      <c r="C35" s="10" t="n">
        <v>150000</v>
      </c>
      <c r="D35" s="10" t="n">
        <v>29541900000</v>
      </c>
      <c r="E35" s="9" t="s">
        <v>2370</v>
      </c>
      <c r="F35" s="9" t="s">
        <v>2370</v>
      </c>
      <c r="G35" s="6" t="s">
        <v>2284</v>
      </c>
      <c r="H35" s="6" t="s">
        <v>2371</v>
      </c>
      <c r="I35" s="10" t="n">
        <v>200000</v>
      </c>
      <c r="J35" s="9" t="s">
        <v>1532</v>
      </c>
    </row>
    <row r="36" customFormat="false" ht="15" hidden="false" customHeight="false" outlineLevel="0" collapsed="false">
      <c r="A36" s="6" t="s">
        <v>283</v>
      </c>
      <c r="B36" s="6" t="s">
        <v>2303</v>
      </c>
      <c r="C36" s="10" t="n">
        <v>150000</v>
      </c>
      <c r="D36" s="10" t="n">
        <v>29541900000</v>
      </c>
      <c r="E36" s="9" t="s">
        <v>2370</v>
      </c>
      <c r="F36" s="9" t="s">
        <v>2370</v>
      </c>
      <c r="G36" s="6" t="s">
        <v>2284</v>
      </c>
      <c r="H36" s="6" t="s">
        <v>2371</v>
      </c>
      <c r="I36" s="10" t="n">
        <v>200000</v>
      </c>
      <c r="J36" s="9" t="s">
        <v>2372</v>
      </c>
    </row>
    <row r="37" customFormat="false" ht="15" hidden="false" customHeight="false" outlineLevel="0" collapsed="false">
      <c r="A37" s="9" t="s">
        <v>106</v>
      </c>
      <c r="B37" s="6" t="s">
        <v>2303</v>
      </c>
      <c r="C37" s="10" t="n">
        <v>1008642</v>
      </c>
      <c r="D37" s="10" t="n">
        <v>6916300303</v>
      </c>
      <c r="E37" s="9" t="s">
        <v>2304</v>
      </c>
      <c r="F37" s="9" t="s">
        <v>2304</v>
      </c>
      <c r="G37" s="6" t="s">
        <v>2284</v>
      </c>
      <c r="H37" s="6" t="s">
        <v>2373</v>
      </c>
      <c r="I37" s="10" t="n">
        <v>2388642</v>
      </c>
      <c r="J37" s="9" t="s">
        <v>1508</v>
      </c>
    </row>
    <row r="38" customFormat="false" ht="15" hidden="false" customHeight="false" outlineLevel="0" collapsed="false">
      <c r="A38" s="9" t="s">
        <v>106</v>
      </c>
      <c r="B38" s="6" t="s">
        <v>2303</v>
      </c>
      <c r="C38" s="10" t="n">
        <v>1008642</v>
      </c>
      <c r="D38" s="10" t="n">
        <v>6916300303</v>
      </c>
      <c r="E38" s="9" t="s">
        <v>2304</v>
      </c>
      <c r="F38" s="9" t="s">
        <v>2304</v>
      </c>
      <c r="G38" s="6" t="s">
        <v>2284</v>
      </c>
      <c r="H38" s="6" t="s">
        <v>2373</v>
      </c>
      <c r="I38" s="10" t="n">
        <v>2388642</v>
      </c>
      <c r="J38" s="9" t="s">
        <v>2374</v>
      </c>
    </row>
    <row r="39" customFormat="false" ht="15" hidden="false" customHeight="false" outlineLevel="0" collapsed="false">
      <c r="A39" s="9" t="s">
        <v>399</v>
      </c>
      <c r="B39" s="6" t="s">
        <v>2303</v>
      </c>
      <c r="C39" s="10" t="n">
        <v>5932</v>
      </c>
      <c r="D39" s="10" t="n">
        <v>30134560</v>
      </c>
      <c r="E39" s="9" t="s">
        <v>2375</v>
      </c>
      <c r="F39" s="9" t="s">
        <v>2375</v>
      </c>
      <c r="G39" s="6" t="s">
        <v>2284</v>
      </c>
      <c r="H39" s="6" t="s">
        <v>2376</v>
      </c>
      <c r="I39" s="10" t="n">
        <v>18810789</v>
      </c>
      <c r="J39" s="9" t="s">
        <v>2377</v>
      </c>
    </row>
    <row r="40" customFormat="false" ht="15" hidden="false" customHeight="false" outlineLevel="0" collapsed="false">
      <c r="A40" s="9" t="s">
        <v>399</v>
      </c>
      <c r="B40" s="6" t="s">
        <v>2303</v>
      </c>
      <c r="C40" s="10" t="n">
        <v>21353</v>
      </c>
      <c r="D40" s="10" t="n">
        <v>120430920</v>
      </c>
      <c r="E40" s="9" t="s">
        <v>2378</v>
      </c>
      <c r="F40" s="9" t="s">
        <v>2378</v>
      </c>
      <c r="G40" s="6" t="s">
        <v>2284</v>
      </c>
      <c r="H40" s="6" t="s">
        <v>2379</v>
      </c>
      <c r="I40" s="10" t="n">
        <v>6641747</v>
      </c>
      <c r="J40" s="9" t="s">
        <v>1409</v>
      </c>
    </row>
    <row r="41" customFormat="false" ht="15" hidden="false" customHeight="false" outlineLevel="0" collapsed="false">
      <c r="A41" s="6" t="s">
        <v>138</v>
      </c>
      <c r="B41" s="6" t="s">
        <v>2303</v>
      </c>
      <c r="C41" s="10" t="n">
        <v>1700000</v>
      </c>
      <c r="D41" s="10" t="n">
        <v>2874700000</v>
      </c>
      <c r="E41" s="9" t="s">
        <v>2380</v>
      </c>
      <c r="F41" s="9" t="s">
        <v>2380</v>
      </c>
      <c r="G41" s="6" t="s">
        <v>2315</v>
      </c>
      <c r="H41" s="6" t="s">
        <v>2381</v>
      </c>
      <c r="I41" s="10" t="n">
        <v>1700000</v>
      </c>
      <c r="J41" s="9" t="s">
        <v>1468</v>
      </c>
    </row>
    <row r="42" customFormat="false" ht="15" hidden="false" customHeight="false" outlineLevel="0" collapsed="false">
      <c r="A42" s="6" t="s">
        <v>138</v>
      </c>
      <c r="B42" s="6" t="s">
        <v>2323</v>
      </c>
      <c r="C42" s="10" t="n">
        <v>3770739</v>
      </c>
      <c r="D42" s="10" t="n">
        <v>5000000000</v>
      </c>
      <c r="E42" s="6"/>
      <c r="F42" s="6"/>
      <c r="G42" s="6"/>
      <c r="H42" s="6" t="s">
        <v>2382</v>
      </c>
      <c r="I42" s="10"/>
      <c r="J42" s="9" t="s">
        <v>2383</v>
      </c>
    </row>
    <row r="43" customFormat="false" ht="15" hidden="false" customHeight="false" outlineLevel="0" collapsed="false">
      <c r="A43" s="9" t="s">
        <v>81</v>
      </c>
      <c r="B43" s="6" t="s">
        <v>2303</v>
      </c>
      <c r="C43" s="10" t="n">
        <v>1680000</v>
      </c>
      <c r="D43" s="10" t="n">
        <v>9189600000</v>
      </c>
      <c r="E43" s="9" t="s">
        <v>2384</v>
      </c>
      <c r="F43" s="9" t="s">
        <v>444</v>
      </c>
      <c r="G43" s="6" t="s">
        <v>2284</v>
      </c>
      <c r="H43" s="6" t="s">
        <v>2385</v>
      </c>
      <c r="I43" s="10" t="n">
        <v>11335189</v>
      </c>
      <c r="J43" s="9" t="s">
        <v>1433</v>
      </c>
    </row>
    <row r="44" customFormat="false" ht="15" hidden="false" customHeight="false" outlineLevel="0" collapsed="false">
      <c r="A44" s="9" t="s">
        <v>81</v>
      </c>
      <c r="B44" s="6" t="s">
        <v>2323</v>
      </c>
      <c r="C44" s="10" t="n">
        <v>1291990</v>
      </c>
      <c r="D44" s="10" t="n">
        <v>5000000000</v>
      </c>
      <c r="E44" s="6"/>
      <c r="F44" s="6"/>
      <c r="G44" s="6"/>
      <c r="H44" s="6" t="s">
        <v>2386</v>
      </c>
      <c r="I44" s="10" t="n">
        <v>9655189</v>
      </c>
      <c r="J44" s="9" t="s">
        <v>2387</v>
      </c>
    </row>
    <row r="45" customFormat="false" ht="15" hidden="false" customHeight="false" outlineLevel="0" collapsed="false">
      <c r="A45" s="9" t="s">
        <v>273</v>
      </c>
      <c r="B45" s="6" t="s">
        <v>2303</v>
      </c>
      <c r="C45" s="10" t="n">
        <v>1089666</v>
      </c>
      <c r="D45" s="10" t="n">
        <v>125000000000</v>
      </c>
      <c r="E45" s="9" t="s">
        <v>2388</v>
      </c>
      <c r="F45" s="9" t="s">
        <v>2388</v>
      </c>
      <c r="G45" s="6" t="s">
        <v>2284</v>
      </c>
      <c r="H45" s="6" t="s">
        <v>2348</v>
      </c>
      <c r="I45" s="10" t="n">
        <v>1292917</v>
      </c>
      <c r="J45" s="9" t="s">
        <v>1526</v>
      </c>
    </row>
    <row r="46" customFormat="false" ht="27.6" hidden="false" customHeight="false" outlineLevel="0" collapsed="false">
      <c r="A46" s="6" t="s">
        <v>57</v>
      </c>
      <c r="B46" s="6" t="s">
        <v>2303</v>
      </c>
      <c r="C46" s="10" t="n">
        <v>110000</v>
      </c>
      <c r="D46" s="10" t="n">
        <v>9263650000</v>
      </c>
      <c r="E46" s="9" t="s">
        <v>2389</v>
      </c>
      <c r="F46" s="9" t="s">
        <v>1652</v>
      </c>
      <c r="G46" s="6" t="s">
        <v>2284</v>
      </c>
      <c r="H46" s="11" t="s">
        <v>2390</v>
      </c>
      <c r="I46" s="10" t="n">
        <v>467296</v>
      </c>
      <c r="J46" s="9" t="s">
        <v>1653</v>
      </c>
    </row>
    <row r="47" customFormat="false" ht="15" hidden="false" customHeight="false" outlineLevel="0" collapsed="false">
      <c r="A47" s="6" t="s">
        <v>57</v>
      </c>
      <c r="B47" s="6" t="s">
        <v>2323</v>
      </c>
      <c r="C47" s="10" t="n">
        <v>184050</v>
      </c>
      <c r="D47" s="10" t="n">
        <v>60000300000</v>
      </c>
      <c r="E47" s="6"/>
      <c r="F47" s="6"/>
      <c r="G47" s="6"/>
      <c r="H47" s="6" t="s">
        <v>2391</v>
      </c>
      <c r="I47" s="10" t="n">
        <v>467296</v>
      </c>
      <c r="J47" s="9" t="s">
        <v>2392</v>
      </c>
    </row>
    <row r="48" customFormat="false" ht="15" hidden="false" customHeight="false" outlineLevel="0" collapsed="false">
      <c r="A48" s="9" t="s">
        <v>371</v>
      </c>
      <c r="B48" s="6" t="s">
        <v>2303</v>
      </c>
      <c r="C48" s="10" t="n">
        <v>20000</v>
      </c>
      <c r="D48" s="10" t="n">
        <v>1739400000</v>
      </c>
      <c r="E48" s="9" t="s">
        <v>2393</v>
      </c>
      <c r="F48" s="9" t="s">
        <v>1547</v>
      </c>
      <c r="G48" s="6" t="s">
        <v>2284</v>
      </c>
      <c r="H48" s="6" t="s">
        <v>2394</v>
      </c>
      <c r="I48" s="10" t="n">
        <v>242050</v>
      </c>
      <c r="J48" s="9" t="s">
        <v>1480</v>
      </c>
    </row>
    <row r="49" customFormat="false" ht="15" hidden="false" customHeight="false" outlineLevel="0" collapsed="false">
      <c r="A49" s="6" t="s">
        <v>331</v>
      </c>
      <c r="B49" s="6" t="s">
        <v>2303</v>
      </c>
      <c r="C49" s="10" t="n">
        <v>3397</v>
      </c>
      <c r="D49" s="10" t="n">
        <v>96304950</v>
      </c>
      <c r="E49" s="9" t="s">
        <v>2395</v>
      </c>
      <c r="F49" s="9" t="s">
        <v>2396</v>
      </c>
      <c r="G49" s="6" t="s">
        <v>2397</v>
      </c>
      <c r="H49" s="6" t="s">
        <v>2398</v>
      </c>
      <c r="I49" s="10" t="n">
        <v>1024080</v>
      </c>
      <c r="J49" s="9" t="s">
        <v>1403</v>
      </c>
    </row>
    <row r="50" customFormat="false" ht="15" hidden="false" customHeight="false" outlineLevel="0" collapsed="false">
      <c r="A50" s="6" t="s">
        <v>129</v>
      </c>
      <c r="B50" s="6" t="s">
        <v>2303</v>
      </c>
      <c r="C50" s="10" t="n">
        <v>352567</v>
      </c>
      <c r="D50" s="10" t="n">
        <v>3000000000</v>
      </c>
      <c r="E50" s="9" t="s">
        <v>2370</v>
      </c>
      <c r="F50" s="9" t="s">
        <v>2370</v>
      </c>
      <c r="G50" s="6" t="s">
        <v>2284</v>
      </c>
      <c r="H50" s="6" t="s">
        <v>2399</v>
      </c>
      <c r="I50" s="10" t="n">
        <v>684000</v>
      </c>
      <c r="J50" s="9" t="s">
        <v>1730</v>
      </c>
    </row>
    <row r="51" customFormat="false" ht="15" hidden="false" customHeight="false" outlineLevel="0" collapsed="false">
      <c r="A51" s="6" t="s">
        <v>368</v>
      </c>
      <c r="B51" s="6" t="s">
        <v>2303</v>
      </c>
      <c r="C51" s="10" t="n">
        <v>1095</v>
      </c>
      <c r="D51" s="10" t="n">
        <v>33561750</v>
      </c>
      <c r="E51" s="9" t="s">
        <v>2400</v>
      </c>
      <c r="F51" s="9" t="s">
        <v>2400</v>
      </c>
      <c r="G51" s="6" t="s">
        <v>2284</v>
      </c>
      <c r="H51" s="6" t="s">
        <v>2401</v>
      </c>
      <c r="I51" s="10"/>
      <c r="J51" s="9" t="s">
        <v>2402</v>
      </c>
    </row>
    <row r="52" customFormat="false" ht="15" hidden="false" customHeight="false" outlineLevel="0" collapsed="false">
      <c r="A52" s="6" t="s">
        <v>368</v>
      </c>
      <c r="B52" s="6" t="s">
        <v>2303</v>
      </c>
      <c r="C52" s="10" t="n">
        <v>1149</v>
      </c>
      <c r="D52" s="10" t="n">
        <v>27863250</v>
      </c>
      <c r="E52" s="9" t="s">
        <v>2403</v>
      </c>
      <c r="F52" s="9" t="s">
        <v>2403</v>
      </c>
      <c r="G52" s="6" t="s">
        <v>2284</v>
      </c>
      <c r="H52" s="6" t="s">
        <v>2404</v>
      </c>
      <c r="I52" s="10"/>
      <c r="J52" s="9" t="s">
        <v>2405</v>
      </c>
    </row>
    <row r="53" customFormat="false" ht="15" hidden="false" customHeight="false" outlineLevel="0" collapsed="false">
      <c r="A53" s="9" t="s">
        <v>234</v>
      </c>
      <c r="B53" s="6" t="s">
        <v>2303</v>
      </c>
      <c r="C53" s="10" t="n">
        <v>600000</v>
      </c>
      <c r="D53" s="10" t="n">
        <v>74220000000</v>
      </c>
      <c r="E53" s="9" t="s">
        <v>2406</v>
      </c>
      <c r="F53" s="9" t="s">
        <v>2406</v>
      </c>
      <c r="G53" s="6" t="s">
        <v>2284</v>
      </c>
      <c r="H53" s="9" t="s">
        <v>2407</v>
      </c>
      <c r="I53" s="10" t="n">
        <v>10754871</v>
      </c>
      <c r="J53" s="9" t="s">
        <v>1338</v>
      </c>
    </row>
    <row r="54" customFormat="false" ht="15" hidden="false" customHeight="false" outlineLevel="0" collapsed="false">
      <c r="A54" s="6" t="s">
        <v>185</v>
      </c>
      <c r="B54" s="6" t="s">
        <v>2323</v>
      </c>
      <c r="C54" s="10" t="n">
        <v>1383680</v>
      </c>
      <c r="D54" s="10" t="n">
        <v>130481024000</v>
      </c>
      <c r="E54" s="6"/>
      <c r="F54" s="6"/>
      <c r="G54" s="6"/>
      <c r="H54" s="6" t="s">
        <v>24</v>
      </c>
      <c r="I54" s="10"/>
      <c r="J54" s="9" t="s">
        <v>2408</v>
      </c>
    </row>
    <row r="55" customFormat="false" ht="15" hidden="false" customHeight="false" outlineLevel="0" collapsed="false">
      <c r="A55" s="6" t="s">
        <v>185</v>
      </c>
      <c r="B55" s="6" t="s">
        <v>2323</v>
      </c>
      <c r="C55" s="10" t="n">
        <v>1383680</v>
      </c>
      <c r="D55" s="10" t="n">
        <v>130342656000</v>
      </c>
      <c r="E55" s="6"/>
      <c r="F55" s="6"/>
      <c r="G55" s="6"/>
      <c r="H55" s="6" t="s">
        <v>24</v>
      </c>
      <c r="I55" s="10"/>
      <c r="J55" s="9" t="s">
        <v>2409</v>
      </c>
    </row>
    <row r="56" customFormat="false" ht="15" hidden="false" customHeight="false" outlineLevel="0" collapsed="false">
      <c r="A56" s="9" t="s">
        <v>280</v>
      </c>
      <c r="B56" s="6" t="s">
        <v>2303</v>
      </c>
      <c r="C56" s="10" t="n">
        <v>2220000</v>
      </c>
      <c r="D56" s="10" t="n">
        <v>125567640000</v>
      </c>
      <c r="E56" s="9" t="s">
        <v>2410</v>
      </c>
      <c r="F56" s="9" t="s">
        <v>2410</v>
      </c>
      <c r="G56" s="6" t="s">
        <v>2284</v>
      </c>
      <c r="H56" s="6" t="s">
        <v>2371</v>
      </c>
      <c r="I56" s="10" t="n">
        <v>2220000</v>
      </c>
      <c r="J56" s="9" t="s">
        <v>2411</v>
      </c>
    </row>
    <row r="57" customFormat="false" ht="15" hidden="false" customHeight="false" outlineLevel="0" collapsed="false">
      <c r="A57" s="9" t="s">
        <v>280</v>
      </c>
      <c r="B57" s="6" t="s">
        <v>2303</v>
      </c>
      <c r="C57" s="10" t="n">
        <v>300816</v>
      </c>
      <c r="D57" s="10" t="n">
        <v>25779931200</v>
      </c>
      <c r="E57" s="9" t="s">
        <v>2412</v>
      </c>
      <c r="F57" s="9" t="s">
        <v>2168</v>
      </c>
      <c r="G57" s="6" t="s">
        <v>2413</v>
      </c>
      <c r="H57" s="6" t="s">
        <v>2414</v>
      </c>
      <c r="I57" s="10" t="n">
        <v>1036390</v>
      </c>
      <c r="J57" s="9" t="s">
        <v>1456</v>
      </c>
    </row>
    <row r="58" customFormat="false" ht="15" hidden="false" customHeight="false" outlineLevel="0" collapsed="false">
      <c r="A58" s="6" t="s">
        <v>287</v>
      </c>
      <c r="B58" s="6" t="s">
        <v>2303</v>
      </c>
      <c r="C58" s="10" t="n">
        <v>121620</v>
      </c>
      <c r="D58" s="10" t="n">
        <v>484655700</v>
      </c>
      <c r="E58" s="9" t="s">
        <v>2158</v>
      </c>
      <c r="F58" s="9" t="s">
        <v>2158</v>
      </c>
      <c r="G58" s="6" t="s">
        <v>2284</v>
      </c>
      <c r="H58" s="6" t="s">
        <v>2415</v>
      </c>
      <c r="I58" s="10" t="n">
        <v>131570</v>
      </c>
      <c r="J58" s="9" t="s">
        <v>2416</v>
      </c>
    </row>
    <row r="59" customFormat="false" ht="15" hidden="false" customHeight="false" outlineLevel="0" collapsed="false">
      <c r="A59" s="6" t="s">
        <v>287</v>
      </c>
      <c r="B59" s="6" t="s">
        <v>2303</v>
      </c>
      <c r="C59" s="10" t="n">
        <v>121620</v>
      </c>
      <c r="D59" s="10" t="n">
        <v>484655700</v>
      </c>
      <c r="E59" s="9" t="s">
        <v>2158</v>
      </c>
      <c r="F59" s="9" t="s">
        <v>2417</v>
      </c>
      <c r="G59" s="6" t="s">
        <v>2284</v>
      </c>
      <c r="H59" s="6" t="s">
        <v>2415</v>
      </c>
      <c r="I59" s="10" t="n">
        <v>131570</v>
      </c>
      <c r="J59" s="9" t="s">
        <v>1736</v>
      </c>
    </row>
    <row r="60" customFormat="false" ht="15" hidden="false" customHeight="false" outlineLevel="0" collapsed="false">
      <c r="A60" s="6" t="s">
        <v>312</v>
      </c>
      <c r="B60" s="6" t="s">
        <v>2303</v>
      </c>
      <c r="C60" s="10" t="n">
        <v>48514</v>
      </c>
      <c r="D60" s="10" t="n">
        <v>1795018000</v>
      </c>
      <c r="E60" s="9" t="s">
        <v>2418</v>
      </c>
      <c r="F60" s="9" t="s">
        <v>2419</v>
      </c>
      <c r="G60" s="6" t="s">
        <v>2284</v>
      </c>
      <c r="H60" s="6" t="s">
        <v>2420</v>
      </c>
      <c r="I60" s="10"/>
      <c r="J60" s="9" t="s">
        <v>2421</v>
      </c>
    </row>
    <row r="61" customFormat="false" ht="27.6" hidden="false" customHeight="false" outlineLevel="0" collapsed="false">
      <c r="A61" s="6" t="s">
        <v>312</v>
      </c>
      <c r="B61" s="6" t="s">
        <v>2303</v>
      </c>
      <c r="C61" s="10" t="n">
        <v>40844</v>
      </c>
      <c r="D61" s="10" t="n">
        <v>1449962000</v>
      </c>
      <c r="E61" s="9" t="s">
        <v>2422</v>
      </c>
      <c r="F61" s="9" t="s">
        <v>1683</v>
      </c>
      <c r="G61" s="6" t="s">
        <v>2284</v>
      </c>
      <c r="H61" s="11" t="s">
        <v>2423</v>
      </c>
      <c r="I61" s="10"/>
      <c r="J61" s="9" t="s">
        <v>1740</v>
      </c>
    </row>
    <row r="62" customFormat="false" ht="15" hidden="false" customHeight="false" outlineLevel="0" collapsed="false">
      <c r="A62" s="6" t="s">
        <v>263</v>
      </c>
      <c r="B62" s="6" t="s">
        <v>2303</v>
      </c>
      <c r="C62" s="10" t="n">
        <v>160221</v>
      </c>
      <c r="D62" s="10" t="n">
        <v>4366022250</v>
      </c>
      <c r="E62" s="9" t="s">
        <v>2424</v>
      </c>
      <c r="F62" s="9" t="s">
        <v>2425</v>
      </c>
      <c r="G62" s="6" t="s">
        <v>2413</v>
      </c>
      <c r="H62" s="6" t="s">
        <v>2426</v>
      </c>
      <c r="I62" s="10" t="n">
        <v>2378668</v>
      </c>
      <c r="J62" s="9" t="s">
        <v>1450</v>
      </c>
    </row>
    <row r="63" customFormat="false" ht="15" hidden="false" customHeight="false" outlineLevel="0" collapsed="false">
      <c r="A63" s="6" t="s">
        <v>263</v>
      </c>
      <c r="B63" s="6" t="s">
        <v>2303</v>
      </c>
      <c r="C63" s="10" t="n">
        <v>160221</v>
      </c>
      <c r="D63" s="10" t="n">
        <v>4366022250</v>
      </c>
      <c r="E63" s="9" t="s">
        <v>2424</v>
      </c>
      <c r="F63" s="9" t="s">
        <v>2425</v>
      </c>
      <c r="G63" s="6" t="s">
        <v>2413</v>
      </c>
      <c r="H63" s="6" t="s">
        <v>2426</v>
      </c>
      <c r="I63" s="10" t="n">
        <v>2378668</v>
      </c>
      <c r="J63" s="9" t="s">
        <v>2427</v>
      </c>
    </row>
    <row r="64" customFormat="false" ht="15" hidden="false" customHeight="false" outlineLevel="0" collapsed="false">
      <c r="A64" s="9" t="s">
        <v>213</v>
      </c>
      <c r="B64" s="6" t="s">
        <v>2323</v>
      </c>
      <c r="C64" s="10" t="n">
        <v>81801526</v>
      </c>
      <c r="D64" s="10" t="n">
        <v>2143199981200</v>
      </c>
      <c r="E64" s="6"/>
      <c r="F64" s="6"/>
      <c r="G64" s="6"/>
      <c r="H64" s="6" t="s">
        <v>2428</v>
      </c>
      <c r="I64" s="10"/>
      <c r="J64" s="9" t="s">
        <v>2429</v>
      </c>
    </row>
    <row r="65" customFormat="false" ht="15" hidden="false" customHeight="false" outlineLevel="0" collapsed="false">
      <c r="A65" s="6" t="s">
        <v>178</v>
      </c>
      <c r="B65" s="6" t="s">
        <v>2303</v>
      </c>
      <c r="C65" s="10" t="n">
        <v>50458</v>
      </c>
      <c r="D65" s="10" t="n">
        <v>25279458000</v>
      </c>
      <c r="E65" s="9" t="s">
        <v>2183</v>
      </c>
      <c r="F65" s="9" t="s">
        <v>2183</v>
      </c>
      <c r="G65" s="6" t="s">
        <v>2413</v>
      </c>
      <c r="H65" s="6" t="s">
        <v>2336</v>
      </c>
      <c r="I65" s="10" t="n">
        <v>2006508</v>
      </c>
      <c r="J65" s="9" t="s">
        <v>2430</v>
      </c>
    </row>
    <row r="66" customFormat="false" ht="15" hidden="false" customHeight="false" outlineLevel="0" collapsed="false">
      <c r="A66" s="6" t="s">
        <v>178</v>
      </c>
      <c r="B66" s="6" t="s">
        <v>2303</v>
      </c>
      <c r="C66" s="10" t="n">
        <v>2747</v>
      </c>
      <c r="D66" s="10" t="n">
        <v>1148246000</v>
      </c>
      <c r="E66" s="9" t="s">
        <v>2148</v>
      </c>
      <c r="F66" s="9" t="s">
        <v>2148</v>
      </c>
      <c r="G66" s="6" t="s">
        <v>2284</v>
      </c>
      <c r="H66" s="6" t="s">
        <v>2431</v>
      </c>
      <c r="I66" s="10" t="n">
        <v>2341700</v>
      </c>
      <c r="J66" s="9" t="s">
        <v>1349</v>
      </c>
    </row>
    <row r="67" customFormat="false" ht="15" hidden="false" customHeight="false" outlineLevel="0" collapsed="false">
      <c r="A67" s="9" t="s">
        <v>174</v>
      </c>
      <c r="B67" s="6" t="s">
        <v>2303</v>
      </c>
      <c r="C67" s="10" t="n">
        <v>12536</v>
      </c>
      <c r="D67" s="10" t="n">
        <v>15344064000</v>
      </c>
      <c r="E67" s="9" t="s">
        <v>2432</v>
      </c>
      <c r="F67" s="9" t="s">
        <v>2433</v>
      </c>
      <c r="G67" s="6" t="s">
        <v>2284</v>
      </c>
      <c r="H67" s="6" t="s">
        <v>2434</v>
      </c>
      <c r="I67" s="10" t="n">
        <v>1642984</v>
      </c>
      <c r="J67" s="9" t="s">
        <v>2435</v>
      </c>
    </row>
    <row r="68" customFormat="false" ht="15" hidden="false" customHeight="false" outlineLevel="0" collapsed="false">
      <c r="A68" s="9" t="s">
        <v>174</v>
      </c>
      <c r="B68" s="6" t="s">
        <v>2303</v>
      </c>
      <c r="C68" s="10" t="n">
        <v>114209</v>
      </c>
      <c r="D68" s="10" t="n">
        <v>14187041980</v>
      </c>
      <c r="E68" s="9" t="s">
        <v>2436</v>
      </c>
      <c r="F68" s="9" t="s">
        <v>1597</v>
      </c>
      <c r="G68" s="6" t="s">
        <v>2284</v>
      </c>
      <c r="H68" s="6" t="s">
        <v>2437</v>
      </c>
      <c r="I68" s="10" t="n">
        <v>1630448</v>
      </c>
      <c r="J68" s="9" t="s">
        <v>1598</v>
      </c>
    </row>
    <row r="69" customFormat="false" ht="15" hidden="false" customHeight="false" outlineLevel="0" collapsed="false">
      <c r="A69" s="6" t="s">
        <v>189</v>
      </c>
      <c r="B69" s="6" t="s">
        <v>2303</v>
      </c>
      <c r="C69" s="10" t="n">
        <v>3800</v>
      </c>
      <c r="D69" s="10" t="n">
        <v>1653000000</v>
      </c>
      <c r="E69" s="9" t="s">
        <v>2419</v>
      </c>
      <c r="F69" s="9" t="s">
        <v>2419</v>
      </c>
      <c r="G69" s="6" t="s">
        <v>2284</v>
      </c>
      <c r="H69" s="6" t="s">
        <v>2438</v>
      </c>
      <c r="I69" s="10" t="n">
        <v>1555800</v>
      </c>
      <c r="J69" s="9" t="s">
        <v>1361</v>
      </c>
    </row>
    <row r="70" customFormat="false" ht="15" hidden="false" customHeight="false" outlineLevel="0" collapsed="false">
      <c r="A70" s="6" t="s">
        <v>189</v>
      </c>
      <c r="B70" s="6" t="s">
        <v>2323</v>
      </c>
      <c r="C70" s="10" t="n">
        <v>1129943</v>
      </c>
      <c r="D70" s="10" t="n">
        <v>500000000000</v>
      </c>
      <c r="E70" s="6"/>
      <c r="F70" s="6"/>
      <c r="G70" s="6"/>
      <c r="H70" s="6" t="s">
        <v>2439</v>
      </c>
      <c r="I70" s="10" t="n">
        <v>1552000</v>
      </c>
      <c r="J70" s="9" t="s">
        <v>2440</v>
      </c>
    </row>
    <row r="71" customFormat="false" ht="15" hidden="false" customHeight="false" outlineLevel="0" collapsed="false">
      <c r="A71" s="6" t="s">
        <v>296</v>
      </c>
      <c r="B71" s="6" t="s">
        <v>2303</v>
      </c>
      <c r="C71" s="10" t="n">
        <v>894000</v>
      </c>
      <c r="D71" s="10" t="n">
        <v>27088200000</v>
      </c>
      <c r="E71" s="9" t="s">
        <v>2441</v>
      </c>
      <c r="F71" s="9" t="s">
        <v>2442</v>
      </c>
      <c r="G71" s="6" t="s">
        <v>2284</v>
      </c>
      <c r="H71" s="6" t="s">
        <v>2443</v>
      </c>
      <c r="I71" s="10" t="n">
        <v>10985500</v>
      </c>
      <c r="J71" s="9" t="s">
        <v>1379</v>
      </c>
    </row>
    <row r="72" customFormat="false" ht="15" hidden="false" customHeight="false" outlineLevel="0" collapsed="false">
      <c r="A72" s="6" t="s">
        <v>390</v>
      </c>
      <c r="B72" s="6" t="s">
        <v>2303</v>
      </c>
      <c r="C72" s="10" t="n">
        <v>2128569</v>
      </c>
      <c r="D72" s="10" t="n">
        <v>132397000000</v>
      </c>
      <c r="E72" s="9" t="s">
        <v>2444</v>
      </c>
      <c r="F72" s="9" t="s">
        <v>2444</v>
      </c>
      <c r="G72" s="6" t="s">
        <v>2284</v>
      </c>
      <c r="H72" s="6" t="s">
        <v>2348</v>
      </c>
      <c r="I72" s="10" t="n">
        <v>2135000</v>
      </c>
      <c r="J72" s="9" t="s">
        <v>1427</v>
      </c>
    </row>
    <row r="73" customFormat="false" ht="15" hidden="false" customHeight="false" outlineLevel="0" collapsed="false">
      <c r="A73" s="6" t="s">
        <v>96</v>
      </c>
      <c r="B73" s="6" t="s">
        <v>2303</v>
      </c>
      <c r="C73" s="10" t="n">
        <v>1316880</v>
      </c>
      <c r="D73" s="10" t="n">
        <v>15447002400</v>
      </c>
      <c r="E73" s="9" t="s">
        <v>2305</v>
      </c>
      <c r="F73" s="9" t="s">
        <v>2305</v>
      </c>
      <c r="G73" s="6" t="s">
        <v>2413</v>
      </c>
      <c r="H73" s="6" t="s">
        <v>2445</v>
      </c>
      <c r="I73" s="10" t="n">
        <v>2333000</v>
      </c>
      <c r="J73" s="9" t="s">
        <v>2446</v>
      </c>
    </row>
    <row r="74" customFormat="false" ht="15" hidden="false" customHeight="false" outlineLevel="0" collapsed="false">
      <c r="A74" s="6" t="s">
        <v>96</v>
      </c>
      <c r="B74" s="6" t="s">
        <v>2303</v>
      </c>
      <c r="C74" s="10" t="n">
        <v>900000</v>
      </c>
      <c r="D74" s="10" t="n">
        <v>10395000000</v>
      </c>
      <c r="E74" s="9" t="s">
        <v>2321</v>
      </c>
      <c r="F74" s="9" t="s">
        <v>2321</v>
      </c>
      <c r="G74" s="6" t="s">
        <v>2413</v>
      </c>
      <c r="H74" s="6" t="s">
        <v>2447</v>
      </c>
      <c r="I74" s="10" t="n">
        <v>1016120</v>
      </c>
      <c r="J74" s="9" t="s">
        <v>1667</v>
      </c>
    </row>
    <row r="75" customFormat="false" ht="15" hidden="false" customHeight="false" outlineLevel="0" collapsed="false">
      <c r="A75" s="6" t="s">
        <v>153</v>
      </c>
      <c r="B75" s="6" t="s">
        <v>2303</v>
      </c>
      <c r="C75" s="10" t="n">
        <v>262390</v>
      </c>
      <c r="D75" s="10" t="n">
        <v>2700000000</v>
      </c>
      <c r="E75" s="9" t="s">
        <v>2158</v>
      </c>
      <c r="F75" s="9" t="s">
        <v>2158</v>
      </c>
      <c r="G75" s="6" t="s">
        <v>2284</v>
      </c>
      <c r="H75" s="6" t="s">
        <v>2348</v>
      </c>
      <c r="I75" s="10" t="n">
        <v>488967</v>
      </c>
      <c r="J75" s="9" t="s">
        <v>1628</v>
      </c>
    </row>
    <row r="76" customFormat="false" ht="15" hidden="false" customHeight="false" outlineLevel="0" collapsed="false">
      <c r="A76" s="6" t="s">
        <v>417</v>
      </c>
      <c r="B76" s="6" t="s">
        <v>2303</v>
      </c>
      <c r="C76" s="10" t="n">
        <v>150000</v>
      </c>
      <c r="D76" s="10" t="n">
        <v>11430000000</v>
      </c>
      <c r="E76" s="9" t="s">
        <v>2448</v>
      </c>
      <c r="F76" s="9" t="s">
        <v>2448</v>
      </c>
      <c r="G76" s="6" t="s">
        <v>2315</v>
      </c>
      <c r="H76" s="6" t="s">
        <v>2369</v>
      </c>
      <c r="I76" s="10" t="n">
        <v>492790</v>
      </c>
      <c r="J76" s="9" t="s">
        <v>1571</v>
      </c>
    </row>
    <row r="77" customFormat="false" ht="15" hidden="false" customHeight="false" outlineLevel="0" collapsed="false">
      <c r="A77" s="9" t="s">
        <v>196</v>
      </c>
      <c r="B77" s="6" t="s">
        <v>2303</v>
      </c>
      <c r="C77" s="10" t="n">
        <v>1903</v>
      </c>
      <c r="D77" s="10" t="n">
        <v>658438000</v>
      </c>
      <c r="E77" s="9" t="s">
        <v>2449</v>
      </c>
      <c r="F77" s="9" t="s">
        <v>2450</v>
      </c>
      <c r="G77" s="6" t="s">
        <v>2284</v>
      </c>
      <c r="H77" s="6" t="s">
        <v>2451</v>
      </c>
      <c r="I77" s="10" t="n">
        <v>7000583</v>
      </c>
      <c r="J77" s="9" t="s">
        <v>2452</v>
      </c>
    </row>
    <row r="78" customFormat="false" ht="15" hidden="false" customHeight="false" outlineLevel="0" collapsed="false">
      <c r="A78" s="9" t="s">
        <v>196</v>
      </c>
      <c r="B78" s="6" t="s">
        <v>2303</v>
      </c>
      <c r="C78" s="10" t="n">
        <v>17981</v>
      </c>
      <c r="D78" s="10" t="n">
        <v>10267151000</v>
      </c>
      <c r="E78" s="9" t="s">
        <v>2453</v>
      </c>
      <c r="F78" s="9" t="s">
        <v>2454</v>
      </c>
      <c r="G78" s="6" t="s">
        <v>2284</v>
      </c>
      <c r="H78" s="6" t="s">
        <v>2455</v>
      </c>
      <c r="I78" s="10" t="n">
        <v>7000583</v>
      </c>
      <c r="J78" s="9" t="s">
        <v>1320</v>
      </c>
    </row>
    <row r="79" customFormat="false" ht="15" hidden="false" customHeight="false" outlineLevel="0" collapsed="false">
      <c r="A79" s="6" t="s">
        <v>338</v>
      </c>
      <c r="B79" s="6" t="s">
        <v>2323</v>
      </c>
      <c r="C79" s="10" t="n">
        <v>248756</v>
      </c>
      <c r="D79" s="10" t="n">
        <v>10000000000</v>
      </c>
      <c r="E79" s="6"/>
      <c r="F79" s="6"/>
      <c r="G79" s="6"/>
      <c r="H79" s="6" t="s">
        <v>2456</v>
      </c>
      <c r="I79" s="10" t="n">
        <v>202949</v>
      </c>
      <c r="J79" s="9" t="s">
        <v>1622</v>
      </c>
    </row>
    <row r="80" customFormat="false" ht="15" hidden="false" customHeight="false" outlineLevel="0" collapsed="false">
      <c r="A80" s="6" t="s">
        <v>338</v>
      </c>
      <c r="B80" s="6" t="s">
        <v>2323</v>
      </c>
      <c r="C80" s="10" t="n">
        <v>269905</v>
      </c>
      <c r="D80" s="10" t="n">
        <v>10000000000</v>
      </c>
      <c r="E80" s="6"/>
      <c r="F80" s="6"/>
      <c r="G80" s="6"/>
      <c r="H80" s="6" t="s">
        <v>2456</v>
      </c>
      <c r="I80" s="10" t="n">
        <v>443988</v>
      </c>
      <c r="J80" s="9" t="s">
        <v>2457</v>
      </c>
    </row>
    <row r="81" customFormat="false" ht="15" hidden="false" customHeight="false" outlineLevel="0" collapsed="false">
      <c r="A81" s="6" t="s">
        <v>67</v>
      </c>
      <c r="B81" s="6" t="s">
        <v>2303</v>
      </c>
      <c r="C81" s="10" t="n">
        <v>783018</v>
      </c>
      <c r="D81" s="10" t="n">
        <v>24845161140</v>
      </c>
      <c r="E81" s="9" t="s">
        <v>2458</v>
      </c>
      <c r="F81" s="9" t="s">
        <v>2458</v>
      </c>
      <c r="G81" s="6" t="s">
        <v>2315</v>
      </c>
      <c r="H81" s="6" t="s">
        <v>2459</v>
      </c>
      <c r="I81" s="10" t="n">
        <v>1705786</v>
      </c>
      <c r="J81" s="9" t="s">
        <v>1485</v>
      </c>
    </row>
    <row r="82" customFormat="false" ht="15" hidden="false" customHeight="false" outlineLevel="0" collapsed="false">
      <c r="A82" s="9" t="s">
        <v>395</v>
      </c>
      <c r="B82" s="6" t="s">
        <v>2303</v>
      </c>
      <c r="C82" s="10" t="n">
        <v>1345875</v>
      </c>
      <c r="D82" s="10" t="n">
        <v>37415325000</v>
      </c>
      <c r="E82" s="9" t="s">
        <v>2395</v>
      </c>
      <c r="F82" s="9" t="s">
        <v>2395</v>
      </c>
      <c r="G82" s="6" t="s">
        <v>2284</v>
      </c>
      <c r="H82" s="6" t="s">
        <v>2460</v>
      </c>
      <c r="I82" s="10" t="n">
        <v>1345875</v>
      </c>
      <c r="J82" s="9" t="s">
        <v>1502</v>
      </c>
    </row>
    <row r="83" customFormat="false" ht="15" hidden="false" customHeight="false" outlineLevel="0" collapsed="false">
      <c r="A83" s="9" t="s">
        <v>395</v>
      </c>
      <c r="B83" s="6" t="s">
        <v>2303</v>
      </c>
      <c r="C83" s="10" t="n">
        <v>1345875</v>
      </c>
      <c r="D83" s="10" t="n">
        <v>37415325000</v>
      </c>
      <c r="E83" s="9" t="s">
        <v>2395</v>
      </c>
      <c r="F83" s="9" t="s">
        <v>2395</v>
      </c>
      <c r="G83" s="6" t="s">
        <v>2284</v>
      </c>
      <c r="H83" s="6" t="s">
        <v>2460</v>
      </c>
      <c r="I83" s="10" t="n">
        <v>1345875</v>
      </c>
      <c r="J83" s="9" t="s">
        <v>2461</v>
      </c>
    </row>
    <row r="84" customFormat="false" ht="15" hidden="false" customHeight="false" outlineLevel="0" collapsed="false">
      <c r="A84" s="6" t="s">
        <v>49</v>
      </c>
      <c r="B84" s="6" t="s">
        <v>2323</v>
      </c>
      <c r="C84" s="10" t="n">
        <v>1823281</v>
      </c>
      <c r="D84" s="10" t="n">
        <v>260000000000</v>
      </c>
      <c r="E84" s="6"/>
      <c r="F84" s="6"/>
      <c r="G84" s="6"/>
      <c r="H84" s="6" t="s">
        <v>2462</v>
      </c>
      <c r="I84" s="10" t="n">
        <v>14168821</v>
      </c>
      <c r="J84" s="9" t="s">
        <v>2463</v>
      </c>
    </row>
    <row r="85" customFormat="false" ht="15" hidden="false" customHeight="false" outlineLevel="0" collapsed="false">
      <c r="A85" s="6" t="s">
        <v>49</v>
      </c>
      <c r="B85" s="6" t="s">
        <v>2303</v>
      </c>
      <c r="C85" s="10" t="n">
        <v>22812</v>
      </c>
      <c r="D85" s="10" t="n">
        <v>4026318000</v>
      </c>
      <c r="E85" s="9" t="s">
        <v>2352</v>
      </c>
      <c r="F85" s="9" t="s">
        <v>2464</v>
      </c>
      <c r="G85" s="6" t="s">
        <v>2284</v>
      </c>
      <c r="H85" s="6" t="s">
        <v>2465</v>
      </c>
      <c r="I85" s="10" t="n">
        <v>10868821</v>
      </c>
      <c r="J85" s="9" t="s">
        <v>1332</v>
      </c>
    </row>
    <row r="86" customFormat="false" ht="15" hidden="false" customHeight="false" outlineLevel="0" collapsed="false">
      <c r="A86" s="6" t="s">
        <v>290</v>
      </c>
      <c r="B86" s="6" t="s">
        <v>2323</v>
      </c>
      <c r="C86" s="10" t="n">
        <v>339411</v>
      </c>
      <c r="D86" s="10" t="n">
        <v>15680788200</v>
      </c>
      <c r="E86" s="6"/>
      <c r="F86" s="6"/>
      <c r="G86" s="6"/>
      <c r="H86" s="6" t="s">
        <v>24</v>
      </c>
      <c r="I86" s="10"/>
      <c r="J86" s="9" t="s">
        <v>2466</v>
      </c>
    </row>
    <row r="87" customFormat="false" ht="55.2" hidden="false" customHeight="false" outlineLevel="0" collapsed="false">
      <c r="A87" s="6" t="s">
        <v>225</v>
      </c>
      <c r="B87" s="6" t="s">
        <v>2303</v>
      </c>
      <c r="C87" s="10" t="n">
        <v>866</v>
      </c>
      <c r="D87" s="10" t="n">
        <v>374545000</v>
      </c>
      <c r="E87" s="9" t="s">
        <v>2464</v>
      </c>
      <c r="F87" s="9" t="s">
        <v>2464</v>
      </c>
      <c r="G87" s="6" t="s">
        <v>2397</v>
      </c>
      <c r="H87" s="12" t="s">
        <v>2467</v>
      </c>
      <c r="I87" s="10"/>
      <c r="J87" s="9" t="s">
        <v>2468</v>
      </c>
    </row>
    <row r="88" customFormat="false" ht="55.2" hidden="false" customHeight="false" outlineLevel="0" collapsed="false">
      <c r="A88" s="6" t="s">
        <v>225</v>
      </c>
      <c r="B88" s="6" t="s">
        <v>2303</v>
      </c>
      <c r="C88" s="10" t="n">
        <v>866</v>
      </c>
      <c r="D88" s="10" t="n">
        <v>374545000</v>
      </c>
      <c r="E88" s="9" t="s">
        <v>2464</v>
      </c>
      <c r="F88" s="9" t="s">
        <v>2464</v>
      </c>
      <c r="G88" s="6" t="s">
        <v>2397</v>
      </c>
      <c r="H88" s="12" t="s">
        <v>2467</v>
      </c>
      <c r="I88" s="10"/>
      <c r="J88" s="9" t="s">
        <v>2469</v>
      </c>
    </row>
    <row r="89" customFormat="false" ht="15" hidden="false" customHeight="false" outlineLevel="0" collapsed="false">
      <c r="A89" s="6" t="s">
        <v>348</v>
      </c>
      <c r="B89" s="6" t="s">
        <v>2303</v>
      </c>
      <c r="C89" s="10" t="n">
        <v>275909</v>
      </c>
      <c r="D89" s="10" t="n">
        <v>13944440860</v>
      </c>
      <c r="E89" s="9" t="s">
        <v>2470</v>
      </c>
      <c r="F89" s="9" t="s">
        <v>2470</v>
      </c>
      <c r="G89" s="6" t="s">
        <v>2315</v>
      </c>
      <c r="H89" s="6" t="s">
        <v>2471</v>
      </c>
      <c r="I89" s="10" t="n">
        <v>275909</v>
      </c>
      <c r="J89" s="9" t="s">
        <v>1474</v>
      </c>
    </row>
    <row r="90" customFormat="false" ht="15" hidden="false" customHeight="false" outlineLevel="0" collapsed="false">
      <c r="A90" s="6" t="s">
        <v>348</v>
      </c>
      <c r="B90" s="6" t="s">
        <v>2303</v>
      </c>
      <c r="C90" s="10" t="n">
        <v>275909</v>
      </c>
      <c r="D90" s="10" t="n">
        <v>13944440860</v>
      </c>
      <c r="E90" s="9" t="s">
        <v>2470</v>
      </c>
      <c r="F90" s="9" t="s">
        <v>2470</v>
      </c>
      <c r="G90" s="6" t="s">
        <v>2315</v>
      </c>
      <c r="H90" s="6" t="s">
        <v>2471</v>
      </c>
      <c r="I90" s="10" t="n">
        <v>275909</v>
      </c>
      <c r="J90" s="9" t="s">
        <v>2472</v>
      </c>
    </row>
    <row r="91" customFormat="false" ht="15" hidden="false" customHeight="false" outlineLevel="0" collapsed="false">
      <c r="A91" s="6" t="s">
        <v>299</v>
      </c>
      <c r="B91" s="6" t="s">
        <v>2303</v>
      </c>
      <c r="C91" s="10" t="n">
        <v>1000000</v>
      </c>
      <c r="D91" s="10" t="n">
        <v>128100000000</v>
      </c>
      <c r="E91" s="9" t="s">
        <v>2473</v>
      </c>
      <c r="F91" s="9" t="s">
        <v>2473</v>
      </c>
      <c r="G91" s="6" t="s">
        <v>2315</v>
      </c>
      <c r="H91" s="6" t="s">
        <v>2474</v>
      </c>
      <c r="I91" s="10" t="n">
        <v>198030</v>
      </c>
      <c r="J91" s="9" t="s">
        <v>2475</v>
      </c>
    </row>
    <row r="92" customFormat="false" ht="15" hidden="false" customHeight="false" outlineLevel="0" collapsed="false">
      <c r="A92" s="6" t="s">
        <v>299</v>
      </c>
      <c r="B92" s="6" t="s">
        <v>2303</v>
      </c>
      <c r="C92" s="10" t="n">
        <v>500000</v>
      </c>
      <c r="D92" s="10" t="n">
        <v>58350000000</v>
      </c>
      <c r="E92" s="9" t="s">
        <v>2309</v>
      </c>
      <c r="F92" s="9" t="s">
        <v>2309</v>
      </c>
      <c r="G92" s="6" t="s">
        <v>2315</v>
      </c>
      <c r="H92" s="6" t="s">
        <v>2476</v>
      </c>
      <c r="I92" s="10" t="n">
        <v>198030</v>
      </c>
      <c r="J92" s="9" t="s">
        <v>1565</v>
      </c>
    </row>
    <row r="93" customFormat="false" ht="15" hidden="false" customHeight="false" outlineLevel="0" collapsed="false">
      <c r="A93" s="9" t="s">
        <v>156</v>
      </c>
      <c r="B93" s="6" t="s">
        <v>2303</v>
      </c>
      <c r="C93" s="10" t="n">
        <v>2004687</v>
      </c>
      <c r="D93" s="10" t="n">
        <v>874043532</v>
      </c>
      <c r="E93" s="9" t="s">
        <v>444</v>
      </c>
      <c r="F93" s="9" t="s">
        <v>444</v>
      </c>
      <c r="G93" s="6" t="s">
        <v>2413</v>
      </c>
      <c r="H93" s="6" t="s">
        <v>2477</v>
      </c>
      <c r="I93" s="10"/>
      <c r="J93" s="9" t="s">
        <v>2478</v>
      </c>
    </row>
    <row r="94" customFormat="false" ht="15" hidden="false" customHeight="false" outlineLevel="0" collapsed="false">
      <c r="A94" s="6" t="s">
        <v>193</v>
      </c>
      <c r="B94" s="6" t="s">
        <v>2323</v>
      </c>
      <c r="C94" s="10" t="n">
        <v>492611</v>
      </c>
      <c r="D94" s="10" t="n">
        <v>100000033000</v>
      </c>
      <c r="E94" s="6"/>
      <c r="F94" s="6"/>
      <c r="G94" s="6"/>
      <c r="H94" s="6" t="s">
        <v>2479</v>
      </c>
      <c r="I94" s="10"/>
      <c r="J94" s="9" t="s">
        <v>2480</v>
      </c>
    </row>
    <row r="95" customFormat="false" ht="15" hidden="false" customHeight="false" outlineLevel="0" collapsed="false">
      <c r="A95" s="6" t="s">
        <v>193</v>
      </c>
      <c r="B95" s="6" t="s">
        <v>2323</v>
      </c>
      <c r="C95" s="10" t="n">
        <v>557414</v>
      </c>
      <c r="D95" s="10" t="n">
        <v>100000071600</v>
      </c>
      <c r="E95" s="6"/>
      <c r="F95" s="6"/>
      <c r="G95" s="6"/>
      <c r="H95" s="6" t="s">
        <v>2479</v>
      </c>
      <c r="I95" s="10"/>
      <c r="J95" s="9" t="s">
        <v>2481</v>
      </c>
    </row>
    <row r="96" customFormat="false" ht="15" hidden="false" customHeight="false" outlineLevel="0" collapsed="false">
      <c r="A96" s="6" t="s">
        <v>345</v>
      </c>
      <c r="B96" s="6" t="s">
        <v>2323</v>
      </c>
      <c r="C96" s="10" t="n">
        <v>194085</v>
      </c>
      <c r="D96" s="10" t="n">
        <v>21000000000</v>
      </c>
      <c r="E96" s="6"/>
      <c r="F96" s="6"/>
      <c r="G96" s="6"/>
      <c r="H96" s="6" t="s">
        <v>2482</v>
      </c>
      <c r="I96" s="10" t="n">
        <v>778808</v>
      </c>
      <c r="J96" s="9" t="s">
        <v>1439</v>
      </c>
    </row>
    <row r="97" customFormat="false" ht="15" hidden="false" customHeight="false" outlineLevel="0" collapsed="false">
      <c r="A97" s="6" t="s">
        <v>61</v>
      </c>
      <c r="B97" s="6" t="s">
        <v>2303</v>
      </c>
      <c r="C97" s="10" t="n">
        <v>4130</v>
      </c>
      <c r="D97" s="10" t="n">
        <v>70173420</v>
      </c>
      <c r="E97" s="9" t="s">
        <v>2158</v>
      </c>
      <c r="F97" s="9" t="s">
        <v>2483</v>
      </c>
      <c r="G97" s="6" t="s">
        <v>2284</v>
      </c>
      <c r="H97" s="6" t="s">
        <v>2394</v>
      </c>
      <c r="I97" s="10" t="n">
        <v>144402</v>
      </c>
      <c r="J97" s="9" t="s">
        <v>2484</v>
      </c>
    </row>
    <row r="98" customFormat="false" ht="15" hidden="false" customHeight="false" outlineLevel="0" collapsed="false">
      <c r="A98" s="6" t="s">
        <v>61</v>
      </c>
      <c r="B98" s="6" t="s">
        <v>2303</v>
      </c>
      <c r="C98" s="10" t="n">
        <v>700</v>
      </c>
      <c r="D98" s="10" t="n">
        <v>1129800</v>
      </c>
      <c r="E98" s="9" t="s">
        <v>2485</v>
      </c>
      <c r="F98" s="9" t="s">
        <v>1774</v>
      </c>
      <c r="G98" s="6" t="s">
        <v>2284</v>
      </c>
      <c r="H98" s="6" t="s">
        <v>2394</v>
      </c>
      <c r="I98" s="10" t="n">
        <v>140272</v>
      </c>
      <c r="J98" s="9" t="s">
        <v>1775</v>
      </c>
    </row>
    <row r="99" customFormat="false" ht="15" hidden="false" customHeight="false" outlineLevel="0" collapsed="false">
      <c r="A99" s="6" t="s">
        <v>72</v>
      </c>
      <c r="B99" s="6" t="s">
        <v>2303</v>
      </c>
      <c r="C99" s="10" t="n">
        <v>661509</v>
      </c>
      <c r="D99" s="10" t="n">
        <v>17115883866</v>
      </c>
      <c r="E99" s="9" t="s">
        <v>2486</v>
      </c>
      <c r="F99" s="9" t="s">
        <v>2486</v>
      </c>
      <c r="G99" s="6" t="s">
        <v>2315</v>
      </c>
      <c r="H99" s="6" t="s">
        <v>2459</v>
      </c>
      <c r="I99" s="10" t="n">
        <v>661509</v>
      </c>
      <c r="J99" s="9" t="s">
        <v>1604</v>
      </c>
    </row>
    <row r="100" customFormat="false" ht="15" hidden="false" customHeight="false" outlineLevel="0" collapsed="false">
      <c r="A100" s="6" t="s">
        <v>335</v>
      </c>
      <c r="B100" s="6" t="s">
        <v>2303</v>
      </c>
      <c r="C100" s="10" t="n">
        <v>300000</v>
      </c>
      <c r="D100" s="10" t="n">
        <v>15666900000</v>
      </c>
      <c r="E100" s="9" t="s">
        <v>2163</v>
      </c>
      <c r="F100" s="9" t="s">
        <v>2163</v>
      </c>
      <c r="G100" s="6" t="s">
        <v>2284</v>
      </c>
      <c r="H100" s="6" t="s">
        <v>2348</v>
      </c>
      <c r="I100" s="10" t="n">
        <v>1624536</v>
      </c>
      <c r="J100" s="9" t="s">
        <v>2487</v>
      </c>
    </row>
    <row r="101" customFormat="false" ht="15" hidden="false" customHeight="false" outlineLevel="0" collapsed="false">
      <c r="A101" s="6" t="s">
        <v>335</v>
      </c>
      <c r="B101" s="6" t="s">
        <v>2303</v>
      </c>
      <c r="C101" s="10" t="n">
        <v>192900</v>
      </c>
      <c r="D101" s="10" t="n">
        <v>7494165000</v>
      </c>
      <c r="E101" s="9" t="s">
        <v>2304</v>
      </c>
      <c r="F101" s="9" t="s">
        <v>2488</v>
      </c>
      <c r="G101" s="6" t="s">
        <v>2284</v>
      </c>
      <c r="H101" s="6" t="s">
        <v>2489</v>
      </c>
      <c r="I101" s="10" t="n">
        <v>916310</v>
      </c>
      <c r="J101" s="9" t="s">
        <v>1397</v>
      </c>
    </row>
    <row r="102" customFormat="false" ht="15" hidden="false" customHeight="false" outlineLevel="0" collapsed="false">
      <c r="A102" s="6" t="s">
        <v>114</v>
      </c>
      <c r="B102" s="6" t="s">
        <v>2303</v>
      </c>
      <c r="C102" s="10" t="n">
        <v>4700</v>
      </c>
      <c r="D102" s="10" t="n">
        <v>32096300</v>
      </c>
      <c r="E102" s="9" t="s">
        <v>2490</v>
      </c>
      <c r="F102" s="9" t="s">
        <v>2490</v>
      </c>
      <c r="G102" s="6" t="s">
        <v>2284</v>
      </c>
      <c r="H102" s="6" t="s">
        <v>2394</v>
      </c>
      <c r="I102" s="10" t="n">
        <v>666266</v>
      </c>
      <c r="J102" s="9" t="s">
        <v>2491</v>
      </c>
    </row>
    <row r="103" customFormat="false" ht="15" hidden="false" customHeight="false" outlineLevel="0" collapsed="false">
      <c r="A103" s="6" t="s">
        <v>114</v>
      </c>
      <c r="B103" s="6" t="s">
        <v>2303</v>
      </c>
      <c r="C103" s="10" t="n">
        <v>4400</v>
      </c>
      <c r="D103" s="10" t="n">
        <v>30047600</v>
      </c>
      <c r="E103" s="9" t="s">
        <v>2350</v>
      </c>
      <c r="F103" s="9" t="s">
        <v>2350</v>
      </c>
      <c r="G103" s="6" t="s">
        <v>2284</v>
      </c>
      <c r="H103" s="6" t="s">
        <v>2394</v>
      </c>
      <c r="I103" s="10" t="n">
        <v>661566</v>
      </c>
      <c r="J103" s="9" t="s">
        <v>1695</v>
      </c>
    </row>
    <row r="104" customFormat="false" ht="15" hidden="false" customHeight="false" outlineLevel="0" collapsed="false">
      <c r="A104" s="6" t="s">
        <v>134</v>
      </c>
      <c r="B104" s="6" t="s">
        <v>2303</v>
      </c>
      <c r="C104" s="10" t="n">
        <v>162530</v>
      </c>
      <c r="D104" s="10" t="n">
        <v>448582800</v>
      </c>
      <c r="E104" s="9" t="s">
        <v>2458</v>
      </c>
      <c r="F104" s="9" t="s">
        <v>2492</v>
      </c>
      <c r="G104" s="6" t="s">
        <v>2397</v>
      </c>
      <c r="H104" s="6" t="s">
        <v>2493</v>
      </c>
      <c r="I104" s="10" t="n">
        <v>162530</v>
      </c>
      <c r="J104" s="9" t="s">
        <v>1763</v>
      </c>
    </row>
    <row r="105" customFormat="false" ht="15" hidden="false" customHeight="false" outlineLevel="0" collapsed="false">
      <c r="A105" s="6" t="s">
        <v>134</v>
      </c>
      <c r="B105" s="6" t="s">
        <v>2303</v>
      </c>
      <c r="C105" s="10" t="n">
        <v>162530</v>
      </c>
      <c r="D105" s="10" t="n">
        <v>448582800</v>
      </c>
      <c r="E105" s="9" t="s">
        <v>2458</v>
      </c>
      <c r="F105" s="9" t="s">
        <v>2492</v>
      </c>
      <c r="G105" s="6" t="s">
        <v>2397</v>
      </c>
      <c r="H105" s="6" t="s">
        <v>2493</v>
      </c>
      <c r="I105" s="10" t="n">
        <v>162530</v>
      </c>
      <c r="J105" s="9" t="s">
        <v>2494</v>
      </c>
    </row>
    <row r="106" customFormat="false" ht="15" hidden="false" customHeight="false" outlineLevel="0" collapsed="false">
      <c r="A106" s="6" t="s">
        <v>380</v>
      </c>
      <c r="B106" s="6" t="s">
        <v>2303</v>
      </c>
      <c r="C106" s="10" t="n">
        <v>1313171</v>
      </c>
      <c r="D106" s="10" t="n">
        <v>93313931260</v>
      </c>
      <c r="E106" s="9" t="s">
        <v>2495</v>
      </c>
      <c r="F106" s="9" t="s">
        <v>2495</v>
      </c>
      <c r="G106" s="6" t="s">
        <v>2284</v>
      </c>
      <c r="H106" s="6" t="s">
        <v>2348</v>
      </c>
      <c r="I106" s="10" t="n">
        <v>1613171</v>
      </c>
      <c r="J106" s="9" t="s">
        <v>1444</v>
      </c>
    </row>
    <row r="107" customFormat="false" ht="15" hidden="false" customHeight="false" outlineLevel="0" collapsed="false">
      <c r="A107" s="6" t="s">
        <v>228</v>
      </c>
      <c r="B107" s="6" t="s">
        <v>2303</v>
      </c>
      <c r="C107" s="10" t="n">
        <v>143019</v>
      </c>
      <c r="D107" s="10" t="n">
        <v>11112576300</v>
      </c>
      <c r="E107" s="9" t="s">
        <v>2496</v>
      </c>
      <c r="F107" s="9" t="s">
        <v>2412</v>
      </c>
      <c r="G107" s="6" t="s">
        <v>2284</v>
      </c>
      <c r="H107" s="6" t="s">
        <v>2497</v>
      </c>
      <c r="I107" s="10" t="n">
        <v>146515</v>
      </c>
      <c r="J107" s="9" t="s">
        <v>1610</v>
      </c>
    </row>
    <row r="108" customFormat="false" ht="15" hidden="false" customHeight="false" outlineLevel="0" collapsed="false">
      <c r="A108" s="6" t="s">
        <v>228</v>
      </c>
      <c r="B108" s="6" t="s">
        <v>2303</v>
      </c>
      <c r="C108" s="10" t="n">
        <v>1627</v>
      </c>
      <c r="D108" s="10" t="n">
        <v>132763200</v>
      </c>
      <c r="E108" s="9" t="s">
        <v>2333</v>
      </c>
      <c r="F108" s="9" t="s">
        <v>2333</v>
      </c>
      <c r="G108" s="6" t="s">
        <v>2284</v>
      </c>
      <c r="H108" s="6" t="s">
        <v>2498</v>
      </c>
      <c r="I108" s="10" t="n">
        <v>3496</v>
      </c>
      <c r="J108" s="9" t="s">
        <v>2499</v>
      </c>
    </row>
    <row r="109" customFormat="false" ht="15" hidden="false" customHeight="false" outlineLevel="0" collapsed="false">
      <c r="A109" s="6" t="s">
        <v>365</v>
      </c>
      <c r="B109" s="6" t="s">
        <v>2303</v>
      </c>
      <c r="C109" s="10" t="n">
        <v>450542</v>
      </c>
      <c r="D109" s="10" t="n">
        <v>18652438800</v>
      </c>
      <c r="E109" s="9" t="s">
        <v>2500</v>
      </c>
      <c r="F109" s="9" t="s">
        <v>1577</v>
      </c>
      <c r="G109" s="6" t="s">
        <v>2315</v>
      </c>
      <c r="H109" s="6" t="s">
        <v>2501</v>
      </c>
      <c r="I109" s="10" t="n">
        <v>2493005</v>
      </c>
      <c r="J109" s="9" t="s">
        <v>1579</v>
      </c>
    </row>
    <row r="110" customFormat="false" ht="15" hidden="false" customHeight="false" outlineLevel="0" collapsed="false">
      <c r="A110" s="6" t="s">
        <v>365</v>
      </c>
      <c r="B110" s="6" t="s">
        <v>2303</v>
      </c>
      <c r="C110" s="10" t="n">
        <v>450542</v>
      </c>
      <c r="D110" s="10" t="n">
        <v>18652438800</v>
      </c>
      <c r="E110" s="9" t="s">
        <v>2500</v>
      </c>
      <c r="F110" s="9" t="s">
        <v>1577</v>
      </c>
      <c r="G110" s="6" t="s">
        <v>2315</v>
      </c>
      <c r="H110" s="6" t="s">
        <v>2501</v>
      </c>
      <c r="I110" s="10" t="n">
        <v>2493005</v>
      </c>
      <c r="J110" s="9" t="s">
        <v>2502</v>
      </c>
    </row>
    <row r="111" customFormat="false" ht="15" hidden="false" customHeight="false" outlineLevel="0" collapsed="false">
      <c r="A111" s="6" t="s">
        <v>85</v>
      </c>
      <c r="B111" s="6" t="s">
        <v>2303</v>
      </c>
      <c r="C111" s="10" t="n">
        <v>907031</v>
      </c>
      <c r="D111" s="10" t="n">
        <v>4712933076</v>
      </c>
      <c r="E111" s="9" t="s">
        <v>2158</v>
      </c>
      <c r="F111" s="9" t="s">
        <v>2158</v>
      </c>
      <c r="G111" s="6" t="s">
        <v>2284</v>
      </c>
      <c r="H111" s="6" t="s">
        <v>2503</v>
      </c>
      <c r="I111" s="10" t="n">
        <v>1707851</v>
      </c>
      <c r="J111" s="9" t="s">
        <v>1673</v>
      </c>
    </row>
    <row r="112" customFormat="false" ht="15" hidden="false" customHeight="false" outlineLevel="0" collapsed="false">
      <c r="A112" s="6" t="s">
        <v>85</v>
      </c>
      <c r="B112" s="6" t="s">
        <v>2303</v>
      </c>
      <c r="C112" s="10" t="n">
        <v>770000</v>
      </c>
      <c r="D112" s="10" t="n">
        <v>5003460000</v>
      </c>
      <c r="E112" s="9" t="s">
        <v>2158</v>
      </c>
      <c r="F112" s="9" t="s">
        <v>2158</v>
      </c>
      <c r="G112" s="6" t="s">
        <v>2413</v>
      </c>
      <c r="H112" s="6" t="s">
        <v>2504</v>
      </c>
      <c r="I112" s="10" t="n">
        <v>1707851</v>
      </c>
      <c r="J112" s="9" t="s">
        <v>2505</v>
      </c>
    </row>
    <row r="113" customFormat="false" ht="15" hidden="false" customHeight="false" outlineLevel="0" collapsed="false">
      <c r="A113" s="6" t="s">
        <v>247</v>
      </c>
      <c r="B113" s="6" t="s">
        <v>2303</v>
      </c>
      <c r="C113" s="10" t="n">
        <v>11119</v>
      </c>
      <c r="D113" s="10" t="n">
        <v>1676745200</v>
      </c>
      <c r="E113" s="9" t="s">
        <v>2400</v>
      </c>
      <c r="F113" s="9" t="s">
        <v>2400</v>
      </c>
      <c r="G113" s="6" t="s">
        <v>2284</v>
      </c>
      <c r="H113" s="6" t="s">
        <v>2401</v>
      </c>
      <c r="I113" s="10" t="n">
        <v>128603</v>
      </c>
      <c r="J113" s="9" t="s">
        <v>2506</v>
      </c>
    </row>
    <row r="114" customFormat="false" ht="15" hidden="false" customHeight="false" outlineLevel="0" collapsed="false">
      <c r="A114" s="6" t="s">
        <v>247</v>
      </c>
      <c r="B114" s="6" t="s">
        <v>2303</v>
      </c>
      <c r="C114" s="10" t="n">
        <v>28317</v>
      </c>
      <c r="D114" s="10" t="n">
        <v>3451842300</v>
      </c>
      <c r="E114" s="9" t="s">
        <v>2403</v>
      </c>
      <c r="F114" s="9" t="s">
        <v>1689</v>
      </c>
      <c r="G114" s="6" t="s">
        <v>2284</v>
      </c>
      <c r="H114" s="6" t="s">
        <v>2507</v>
      </c>
      <c r="I114" s="10" t="n">
        <v>117484</v>
      </c>
      <c r="J114" s="9" t="s">
        <v>1690</v>
      </c>
    </row>
    <row r="115" customFormat="false" ht="15" hidden="false" customHeight="false" outlineLevel="0" collapsed="false">
      <c r="A115" s="6" t="s">
        <v>377</v>
      </c>
      <c r="B115" s="6" t="s">
        <v>2323</v>
      </c>
      <c r="C115" s="10" t="n">
        <v>50000</v>
      </c>
      <c r="D115" s="10" t="n">
        <v>3245000000</v>
      </c>
      <c r="E115" s="6"/>
      <c r="F115" s="6"/>
      <c r="G115" s="6"/>
      <c r="H115" s="6" t="s">
        <v>2356</v>
      </c>
      <c r="I115" s="10" t="n">
        <v>732723</v>
      </c>
      <c r="J115" s="9" t="s">
        <v>2508</v>
      </c>
    </row>
    <row r="116" customFormat="false" ht="15" hidden="false" customHeight="false" outlineLevel="0" collapsed="false">
      <c r="A116" s="6" t="s">
        <v>377</v>
      </c>
      <c r="B116" s="6" t="s">
        <v>2303</v>
      </c>
      <c r="C116" s="10" t="n">
        <v>17750</v>
      </c>
      <c r="D116" s="10" t="n">
        <v>1151975000</v>
      </c>
      <c r="E116" s="9" t="s">
        <v>2509</v>
      </c>
      <c r="F116" s="9" t="s">
        <v>2509</v>
      </c>
      <c r="G116" s="6" t="s">
        <v>2284</v>
      </c>
      <c r="H116" s="6" t="s">
        <v>2356</v>
      </c>
      <c r="I116" s="10" t="n">
        <v>732723</v>
      </c>
      <c r="J116" s="9" t="s">
        <v>1541</v>
      </c>
    </row>
    <row r="117" customFormat="false" ht="15" hidden="false" customHeight="false" outlineLevel="0" collapsed="false">
      <c r="A117" s="6" t="s">
        <v>231</v>
      </c>
      <c r="B117" s="6" t="s">
        <v>2303</v>
      </c>
      <c r="C117" s="10" t="n">
        <v>22368</v>
      </c>
      <c r="D117" s="10" t="n">
        <v>6207120000</v>
      </c>
      <c r="E117" s="9" t="s">
        <v>2510</v>
      </c>
      <c r="F117" s="9" t="s">
        <v>2510</v>
      </c>
      <c r="G117" s="6" t="s">
        <v>2284</v>
      </c>
      <c r="H117" s="6" t="s">
        <v>2511</v>
      </c>
      <c r="I117" s="10" t="n">
        <v>672276</v>
      </c>
      <c r="J117" s="9" t="s">
        <v>1391</v>
      </c>
    </row>
    <row r="118" customFormat="false" ht="15" hidden="false" customHeight="false" outlineLevel="0" collapsed="false">
      <c r="A118" s="6" t="s">
        <v>231</v>
      </c>
      <c r="B118" s="6" t="s">
        <v>2323</v>
      </c>
      <c r="C118" s="10" t="n">
        <v>409836</v>
      </c>
      <c r="D118" s="10" t="n">
        <v>99999984000</v>
      </c>
      <c r="E118" s="6"/>
      <c r="F118" s="6"/>
      <c r="G118" s="6"/>
      <c r="H118" s="6" t="s">
        <v>2324</v>
      </c>
      <c r="I118" s="10" t="n">
        <v>1062846</v>
      </c>
      <c r="J118" s="9" t="s">
        <v>2512</v>
      </c>
    </row>
    <row r="119" customFormat="false" ht="15" hidden="false" customHeight="false" outlineLevel="0" collapsed="false">
      <c r="A119" s="6" t="s">
        <v>402</v>
      </c>
      <c r="B119" s="6" t="s">
        <v>2303</v>
      </c>
      <c r="C119" s="10" t="n">
        <v>7668</v>
      </c>
      <c r="D119" s="10" t="n">
        <v>179047800</v>
      </c>
      <c r="E119" s="9" t="s">
        <v>2509</v>
      </c>
      <c r="F119" s="9" t="s">
        <v>2453</v>
      </c>
      <c r="G119" s="6" t="s">
        <v>2284</v>
      </c>
      <c r="H119" s="6" t="s">
        <v>2513</v>
      </c>
      <c r="I119" s="10" t="n">
        <v>6665024</v>
      </c>
      <c r="J119" s="9" t="s">
        <v>2514</v>
      </c>
    </row>
    <row r="120" customFormat="false" ht="15" hidden="false" customHeight="false" outlineLevel="0" collapsed="false">
      <c r="A120" s="6" t="s">
        <v>402</v>
      </c>
      <c r="B120" s="6" t="s">
        <v>2303</v>
      </c>
      <c r="C120" s="10" t="n">
        <v>868</v>
      </c>
      <c r="D120" s="10" t="n">
        <v>21266000</v>
      </c>
      <c r="E120" s="9" t="s">
        <v>2515</v>
      </c>
      <c r="F120" s="9" t="s">
        <v>2516</v>
      </c>
      <c r="G120" s="6" t="s">
        <v>2284</v>
      </c>
      <c r="H120" s="6" t="s">
        <v>2513</v>
      </c>
      <c r="I120" s="10" t="n">
        <v>6657356</v>
      </c>
      <c r="J120" s="9" t="s">
        <v>1415</v>
      </c>
    </row>
    <row r="121" customFormat="false" ht="15" hidden="false" customHeight="false" outlineLevel="0" collapsed="false">
      <c r="A121" s="6" t="s">
        <v>266</v>
      </c>
      <c r="B121" s="6" t="s">
        <v>2303</v>
      </c>
      <c r="C121" s="10" t="n">
        <v>10303</v>
      </c>
      <c r="D121" s="10" t="n">
        <v>4770289000</v>
      </c>
      <c r="E121" s="9" t="s">
        <v>2418</v>
      </c>
      <c r="F121" s="9" t="s">
        <v>2419</v>
      </c>
      <c r="G121" s="6" t="s">
        <v>2284</v>
      </c>
      <c r="H121" s="6" t="s">
        <v>2420</v>
      </c>
      <c r="I121" s="10"/>
      <c r="J121" s="9" t="s">
        <v>2517</v>
      </c>
    </row>
    <row r="122" customFormat="false" ht="28.35" hidden="false" customHeight="false" outlineLevel="0" collapsed="false">
      <c r="A122" s="6" t="s">
        <v>266</v>
      </c>
      <c r="B122" s="6" t="s">
        <v>2303</v>
      </c>
      <c r="C122" s="10" t="n">
        <v>10402</v>
      </c>
      <c r="D122" s="10" t="n">
        <v>4061981000</v>
      </c>
      <c r="E122" s="9" t="s">
        <v>2422</v>
      </c>
      <c r="F122" s="9" t="s">
        <v>1683</v>
      </c>
      <c r="G122" s="6" t="s">
        <v>2284</v>
      </c>
      <c r="H122" s="12" t="s">
        <v>2518</v>
      </c>
      <c r="I122" s="10"/>
      <c r="J122" s="9" t="s">
        <v>1684</v>
      </c>
    </row>
    <row r="123" customFormat="false" ht="15" hidden="false" customHeight="false" outlineLevel="0" collapsed="false">
      <c r="A123" s="6" t="s">
        <v>352</v>
      </c>
      <c r="B123" s="6" t="s">
        <v>2323</v>
      </c>
      <c r="C123" s="10" t="n">
        <v>449438</v>
      </c>
      <c r="D123" s="10" t="n">
        <v>10000000000</v>
      </c>
      <c r="E123" s="6"/>
      <c r="F123" s="6"/>
      <c r="G123" s="6"/>
      <c r="H123" s="6" t="s">
        <v>2362</v>
      </c>
      <c r="I123" s="10"/>
      <c r="J123" s="9" t="s">
        <v>2519</v>
      </c>
    </row>
    <row r="124" customFormat="false" ht="15" hidden="false" customHeight="false" outlineLevel="0" collapsed="false">
      <c r="A124" s="6" t="s">
        <v>352</v>
      </c>
      <c r="B124" s="6" t="s">
        <v>2323</v>
      </c>
      <c r="C124" s="10" t="n">
        <v>449438</v>
      </c>
      <c r="D124" s="10" t="n">
        <v>10000000000</v>
      </c>
      <c r="E124" s="6"/>
      <c r="F124" s="6"/>
      <c r="G124" s="6"/>
      <c r="H124" s="6" t="s">
        <v>2362</v>
      </c>
      <c r="I124" s="10"/>
      <c r="J124" s="9" t="s">
        <v>2520</v>
      </c>
    </row>
    <row r="125" customFormat="false" ht="15" hidden="false" customHeight="false" outlineLevel="0" collapsed="false">
      <c r="A125" s="6" t="s">
        <v>269</v>
      </c>
      <c r="B125" s="6" t="s">
        <v>2303</v>
      </c>
      <c r="C125" s="10" t="n">
        <v>36218</v>
      </c>
      <c r="D125" s="10" t="n">
        <v>5088629000</v>
      </c>
      <c r="E125" s="9" t="s">
        <v>2521</v>
      </c>
      <c r="F125" s="9" t="s">
        <v>2521</v>
      </c>
      <c r="G125" s="6" t="s">
        <v>2284</v>
      </c>
      <c r="H125" s="6" t="s">
        <v>2394</v>
      </c>
      <c r="I125" s="10" t="n">
        <v>205208</v>
      </c>
      <c r="J125" s="9" t="s">
        <v>1559</v>
      </c>
    </row>
    <row r="126" customFormat="false" ht="15" hidden="false" customHeight="false" outlineLevel="0" collapsed="false">
      <c r="A126" s="6" t="s">
        <v>356</v>
      </c>
      <c r="B126" s="6" t="s">
        <v>2303</v>
      </c>
      <c r="C126" s="10" t="n">
        <v>524319</v>
      </c>
      <c r="D126" s="10" t="n">
        <v>52304490483</v>
      </c>
      <c r="E126" s="9" t="s">
        <v>2199</v>
      </c>
      <c r="F126" s="9" t="s">
        <v>2199</v>
      </c>
      <c r="G126" s="6" t="s">
        <v>2284</v>
      </c>
      <c r="H126" s="6" t="s">
        <v>2522</v>
      </c>
      <c r="I126" s="10" t="n">
        <v>795824</v>
      </c>
      <c r="J126" s="9" t="s">
        <v>1462</v>
      </c>
    </row>
    <row r="127" customFormat="false" ht="15" hidden="false" customHeight="false" outlineLevel="0" collapsed="false">
      <c r="A127" s="6" t="s">
        <v>356</v>
      </c>
      <c r="B127" s="6" t="s">
        <v>2303</v>
      </c>
      <c r="C127" s="10" t="n">
        <v>232447</v>
      </c>
      <c r="D127" s="10" t="n">
        <v>23188215379</v>
      </c>
      <c r="E127" s="9" t="s">
        <v>2199</v>
      </c>
      <c r="F127" s="9" t="s">
        <v>2199</v>
      </c>
      <c r="G127" s="6" t="s">
        <v>2284</v>
      </c>
      <c r="H127" s="6" t="s">
        <v>2522</v>
      </c>
      <c r="I127" s="10" t="n">
        <v>795824</v>
      </c>
      <c r="J127" s="9" t="s">
        <v>2523</v>
      </c>
    </row>
    <row r="128" customFormat="false" ht="15" hidden="false" customHeight="false" outlineLevel="0" collapsed="false">
      <c r="A128" s="6" t="s">
        <v>293</v>
      </c>
      <c r="B128" s="6" t="s">
        <v>2303</v>
      </c>
      <c r="C128" s="10" t="n">
        <v>2000</v>
      </c>
      <c r="D128" s="10" t="n">
        <v>526000000</v>
      </c>
      <c r="E128" s="9" t="s">
        <v>2524</v>
      </c>
      <c r="F128" s="9" t="s">
        <v>1756</v>
      </c>
      <c r="G128" s="6" t="s">
        <v>2284</v>
      </c>
      <c r="H128" s="6" t="s">
        <v>2394</v>
      </c>
      <c r="I128" s="10" t="n">
        <v>1500400</v>
      </c>
      <c r="J128" s="9" t="s">
        <v>1757</v>
      </c>
    </row>
    <row r="129" customFormat="false" ht="15" hidden="false" customHeight="false" outlineLevel="0" collapsed="false">
      <c r="A129" s="6" t="s">
        <v>293</v>
      </c>
      <c r="B129" s="6" t="s">
        <v>2303</v>
      </c>
      <c r="C129" s="10" t="n">
        <v>15643</v>
      </c>
      <c r="D129" s="10" t="n">
        <v>2041896433</v>
      </c>
      <c r="E129" s="9" t="s">
        <v>1955</v>
      </c>
      <c r="F129" s="9" t="s">
        <v>2525</v>
      </c>
      <c r="G129" s="6" t="s">
        <v>2284</v>
      </c>
      <c r="H129" s="6" t="s">
        <v>2394</v>
      </c>
      <c r="I129" s="10" t="n">
        <v>1498400</v>
      </c>
      <c r="J129" s="9" t="s">
        <v>2526</v>
      </c>
    </row>
    <row r="130" customFormat="false" ht="15" hidden="false" customHeight="false" outlineLevel="0" collapsed="false">
      <c r="A130" s="6" t="s">
        <v>304</v>
      </c>
      <c r="B130" s="6" t="s">
        <v>2303</v>
      </c>
      <c r="C130" s="10" t="n">
        <v>97646</v>
      </c>
      <c r="D130" s="10" t="n">
        <v>26315597000</v>
      </c>
      <c r="E130" s="9" t="s">
        <v>2527</v>
      </c>
      <c r="F130" s="9" t="s">
        <v>2528</v>
      </c>
      <c r="G130" s="6" t="s">
        <v>2315</v>
      </c>
      <c r="H130" s="6" t="s">
        <v>2529</v>
      </c>
      <c r="I130" s="10" t="n">
        <v>156646</v>
      </c>
      <c r="J130" s="9" t="s">
        <v>2530</v>
      </c>
    </row>
    <row r="131" customFormat="false" ht="15" hidden="false" customHeight="false" outlineLevel="0" collapsed="false">
      <c r="A131" s="6" t="s">
        <v>304</v>
      </c>
      <c r="B131" s="6" t="s">
        <v>2303</v>
      </c>
      <c r="C131" s="10" t="n">
        <v>42000</v>
      </c>
      <c r="D131" s="10" t="n">
        <v>10311000000</v>
      </c>
      <c r="E131" s="9" t="s">
        <v>2531</v>
      </c>
      <c r="F131" s="9" t="s">
        <v>2168</v>
      </c>
      <c r="G131" s="6" t="s">
        <v>2284</v>
      </c>
      <c r="H131" s="6" t="s">
        <v>2532</v>
      </c>
      <c r="I131" s="10" t="n">
        <v>59000</v>
      </c>
      <c r="J131" s="9" t="s">
        <v>1520</v>
      </c>
    </row>
    <row r="132" customFormat="false" ht="15" hidden="false" customHeight="false" outlineLevel="0" collapsed="false">
      <c r="A132" s="9" t="s">
        <v>411</v>
      </c>
      <c r="B132" s="6" t="s">
        <v>2323</v>
      </c>
      <c r="C132" s="10" t="n">
        <v>478784</v>
      </c>
      <c r="D132" s="10" t="n">
        <v>12831411200</v>
      </c>
      <c r="E132" s="6"/>
      <c r="F132" s="6"/>
      <c r="G132" s="6"/>
      <c r="H132" s="6" t="s">
        <v>2533</v>
      </c>
      <c r="I132" s="10" t="n">
        <v>2500233</v>
      </c>
      <c r="J132" s="9" t="s">
        <v>1421</v>
      </c>
    </row>
    <row r="133" customFormat="false" ht="15" hidden="false" customHeight="false" outlineLevel="0" collapsed="false">
      <c r="A133" s="9" t="s">
        <v>411</v>
      </c>
      <c r="B133" s="6" t="s">
        <v>2323</v>
      </c>
      <c r="C133" s="10" t="n">
        <v>431525</v>
      </c>
      <c r="D133" s="10" t="n">
        <v>16700017500</v>
      </c>
      <c r="E133" s="6"/>
      <c r="F133" s="6"/>
      <c r="G133" s="6"/>
      <c r="H133" s="6" t="s">
        <v>2479</v>
      </c>
      <c r="I133" s="10" t="n">
        <v>1907811</v>
      </c>
      <c r="J133" s="9" t="s">
        <v>2534</v>
      </c>
    </row>
    <row r="134" customFormat="false" ht="15" hidden="false" customHeight="false" outlineLevel="0" collapsed="false">
      <c r="A134" s="6" t="s">
        <v>423</v>
      </c>
      <c r="B134" s="6" t="s">
        <v>2303</v>
      </c>
      <c r="C134" s="10" t="n">
        <v>176352</v>
      </c>
      <c r="D134" s="10" t="n">
        <v>8694235141</v>
      </c>
      <c r="E134" s="9" t="s">
        <v>2535</v>
      </c>
      <c r="F134" s="9" t="s">
        <v>2535</v>
      </c>
      <c r="G134" s="6" t="s">
        <v>2284</v>
      </c>
      <c r="H134" s="6" t="s">
        <v>2536</v>
      </c>
      <c r="I134" s="10" t="n">
        <v>1888017</v>
      </c>
      <c r="J134" s="9" t="s">
        <v>1496</v>
      </c>
    </row>
    <row r="135" customFormat="false" ht="15" hidden="false" customHeight="false" outlineLevel="0" collapsed="false">
      <c r="A135" s="6" t="s">
        <v>257</v>
      </c>
      <c r="B135" s="6" t="s">
        <v>2303</v>
      </c>
      <c r="C135" s="10" t="n">
        <v>33555</v>
      </c>
      <c r="D135" s="10" t="n">
        <v>2087121000</v>
      </c>
      <c r="E135" s="9" t="s">
        <v>2352</v>
      </c>
      <c r="F135" s="9" t="s">
        <v>2352</v>
      </c>
      <c r="G135" s="6" t="s">
        <v>2284</v>
      </c>
      <c r="H135" s="6" t="s">
        <v>2537</v>
      </c>
      <c r="I135" s="10" t="n">
        <v>142263</v>
      </c>
      <c r="J135" s="9" t="s">
        <v>1634</v>
      </c>
    </row>
    <row r="136" customFormat="false" ht="15" hidden="false" customHeight="false" outlineLevel="0" collapsed="false">
      <c r="A136" s="9" t="s">
        <v>90</v>
      </c>
      <c r="B136" s="6" t="s">
        <v>2323</v>
      </c>
      <c r="C136" s="10" t="n">
        <v>4021448</v>
      </c>
      <c r="D136" s="10" t="n">
        <v>15000000000</v>
      </c>
      <c r="E136" s="6"/>
      <c r="F136" s="6"/>
      <c r="G136" s="6"/>
      <c r="H136" s="9" t="s">
        <v>2538</v>
      </c>
      <c r="I136" s="10"/>
      <c r="J136" s="9" t="s">
        <v>1548</v>
      </c>
    </row>
    <row r="137" customFormat="false" ht="15" hidden="false" customHeight="false" outlineLevel="0" collapsed="false">
      <c r="A137" s="9" t="s">
        <v>90</v>
      </c>
      <c r="B137" s="6" t="s">
        <v>2323</v>
      </c>
      <c r="C137" s="10" t="n">
        <v>2421307</v>
      </c>
      <c r="D137" s="10" t="n">
        <v>10000000000</v>
      </c>
      <c r="E137" s="6"/>
      <c r="F137" s="6"/>
      <c r="G137" s="6"/>
      <c r="H137" s="9" t="s">
        <v>2538</v>
      </c>
      <c r="I137" s="10" t="n">
        <v>2973233</v>
      </c>
      <c r="J137" s="9" t="s">
        <v>2539</v>
      </c>
    </row>
    <row r="138" customFormat="false" ht="15" hidden="false" customHeight="false" outlineLevel="0" collapsed="false">
      <c r="A138" s="6" t="s">
        <v>315</v>
      </c>
      <c r="B138" s="6" t="s">
        <v>2303</v>
      </c>
      <c r="C138" s="10" t="n">
        <v>66287</v>
      </c>
      <c r="D138" s="10" t="n">
        <v>2552911231</v>
      </c>
      <c r="E138" s="9" t="s">
        <v>2540</v>
      </c>
      <c r="F138" s="9" t="s">
        <v>1700</v>
      </c>
      <c r="G138" s="6" t="s">
        <v>2284</v>
      </c>
      <c r="H138" s="6" t="s">
        <v>2394</v>
      </c>
      <c r="I138" s="10" t="n">
        <v>350426</v>
      </c>
      <c r="J138" s="9" t="s">
        <v>1701</v>
      </c>
    </row>
    <row r="139" customFormat="false" ht="15" hidden="false" customHeight="false" outlineLevel="0" collapsed="false">
      <c r="A139" s="6" t="s">
        <v>315</v>
      </c>
      <c r="B139" s="6" t="s">
        <v>2303</v>
      </c>
      <c r="C139" s="10" t="n">
        <v>66287</v>
      </c>
      <c r="D139" s="10" t="n">
        <v>2552911231</v>
      </c>
      <c r="E139" s="9" t="s">
        <v>2540</v>
      </c>
      <c r="F139" s="9" t="s">
        <v>1700</v>
      </c>
      <c r="G139" s="6" t="s">
        <v>2284</v>
      </c>
      <c r="H139" s="6" t="s">
        <v>2394</v>
      </c>
      <c r="I139" s="10" t="n">
        <v>350426</v>
      </c>
      <c r="J139" s="9" t="s">
        <v>2541</v>
      </c>
    </row>
    <row r="140" customFormat="false" ht="15" hidden="false" customHeight="false" outlineLevel="0" collapsed="false">
      <c r="A140" s="6" t="s">
        <v>150</v>
      </c>
      <c r="B140" s="6" t="s">
        <v>2303</v>
      </c>
      <c r="C140" s="10" t="n">
        <v>10545</v>
      </c>
      <c r="D140" s="10" t="n">
        <v>19423890</v>
      </c>
      <c r="E140" s="9" t="s">
        <v>2542</v>
      </c>
      <c r="F140" s="9" t="s">
        <v>2542</v>
      </c>
      <c r="G140" s="6" t="s">
        <v>2284</v>
      </c>
      <c r="H140" s="6" t="s">
        <v>2543</v>
      </c>
      <c r="I140" s="10" t="n">
        <v>1123451</v>
      </c>
      <c r="J140" s="9" t="s">
        <v>1718</v>
      </c>
    </row>
    <row r="141" customFormat="false" ht="15" hidden="false" customHeight="false" outlineLevel="0" collapsed="false">
      <c r="A141" s="6" t="s">
        <v>160</v>
      </c>
      <c r="B141" s="6" t="s">
        <v>2323</v>
      </c>
      <c r="C141" s="10" t="n">
        <v>565610</v>
      </c>
      <c r="D141" s="10" t="n">
        <v>1000000000</v>
      </c>
      <c r="E141" s="6"/>
      <c r="F141" s="6"/>
      <c r="G141" s="6"/>
      <c r="H141" s="6" t="s">
        <v>2479</v>
      </c>
      <c r="I141" s="10" t="n">
        <v>139475</v>
      </c>
      <c r="J141" s="9" t="s">
        <v>1769</v>
      </c>
    </row>
    <row r="142" customFormat="false" ht="15" hidden="false" customHeight="false" outlineLevel="0" collapsed="false">
      <c r="A142" s="9" t="s">
        <v>414</v>
      </c>
      <c r="B142" s="6" t="s">
        <v>2303</v>
      </c>
      <c r="C142" s="10" t="n">
        <v>297303</v>
      </c>
      <c r="D142" s="10" t="n">
        <v>10702908000</v>
      </c>
      <c r="E142" s="9" t="s">
        <v>2337</v>
      </c>
      <c r="F142" s="9" t="s">
        <v>2309</v>
      </c>
      <c r="G142" s="6" t="s">
        <v>2315</v>
      </c>
      <c r="H142" s="6" t="s">
        <v>2544</v>
      </c>
      <c r="I142" s="10" t="n">
        <v>297303</v>
      </c>
      <c r="J142" s="9" t="s">
        <v>1616</v>
      </c>
    </row>
    <row r="143" customFormat="false" ht="15" hidden="false" customHeight="false" outlineLevel="0" collapsed="false">
      <c r="A143" s="6" t="s">
        <v>277</v>
      </c>
      <c r="B143" s="6" t="s">
        <v>2323</v>
      </c>
      <c r="C143" s="10" t="n">
        <v>60000</v>
      </c>
      <c r="D143" s="10" t="n">
        <v>7596000000</v>
      </c>
      <c r="E143" s="6"/>
      <c r="F143" s="6"/>
      <c r="G143" s="6"/>
      <c r="H143" s="6" t="s">
        <v>2545</v>
      </c>
      <c r="I143" s="10"/>
      <c r="J143" s="9" t="s">
        <v>2546</v>
      </c>
    </row>
    <row r="144" customFormat="false" ht="15" hidden="false" customHeight="false" outlineLevel="0" collapsed="false">
      <c r="A144" s="6" t="s">
        <v>359</v>
      </c>
      <c r="B144" s="6" t="s">
        <v>2303</v>
      </c>
      <c r="C144" s="10" t="n">
        <v>320000</v>
      </c>
      <c r="D144" s="10" t="n">
        <v>15584000000</v>
      </c>
      <c r="E144" s="9" t="s">
        <v>2547</v>
      </c>
      <c r="F144" s="9" t="s">
        <v>1584</v>
      </c>
      <c r="G144" s="6" t="s">
        <v>2284</v>
      </c>
      <c r="H144" s="6" t="s">
        <v>2394</v>
      </c>
      <c r="I144" s="10" t="n">
        <v>2828445</v>
      </c>
      <c r="J144" s="9" t="s">
        <v>1586</v>
      </c>
    </row>
    <row r="145" customFormat="false" ht="15" hidden="false" customHeight="false" outlineLevel="0" collapsed="false">
      <c r="A145" s="6" t="s">
        <v>239</v>
      </c>
      <c r="B145" s="6" t="s">
        <v>2303</v>
      </c>
      <c r="C145" s="10" t="n">
        <v>65168</v>
      </c>
      <c r="D145" s="10" t="n">
        <v>10492048000</v>
      </c>
      <c r="E145" s="9" t="s">
        <v>2496</v>
      </c>
      <c r="F145" s="9" t="s">
        <v>2412</v>
      </c>
      <c r="G145" s="6" t="s">
        <v>2284</v>
      </c>
      <c r="H145" s="6" t="s">
        <v>2548</v>
      </c>
      <c r="I145" s="10" t="n">
        <v>71865</v>
      </c>
      <c r="J145" s="9" t="s">
        <v>2549</v>
      </c>
    </row>
    <row r="146" customFormat="false" ht="15" hidden="false" customHeight="false" outlineLevel="0" collapsed="false">
      <c r="A146" s="6" t="s">
        <v>239</v>
      </c>
      <c r="B146" s="6" t="s">
        <v>2303</v>
      </c>
      <c r="C146" s="10" t="n">
        <v>854</v>
      </c>
      <c r="D146" s="10" t="n">
        <v>131857600</v>
      </c>
      <c r="E146" s="9" t="s">
        <v>2333</v>
      </c>
      <c r="F146" s="9" t="s">
        <v>2464</v>
      </c>
      <c r="G146" s="6" t="s">
        <v>2284</v>
      </c>
      <c r="H146" s="6" t="s">
        <v>2550</v>
      </c>
      <c r="I146" s="10" t="n">
        <v>6697</v>
      </c>
      <c r="J146" s="9" t="s">
        <v>1662</v>
      </c>
    </row>
    <row r="147" customFormat="false" ht="15" hidden="false" customHeight="false" outlineLevel="0" collapsed="false">
      <c r="A147" s="6" t="s">
        <v>384</v>
      </c>
      <c r="B147" s="6" t="s">
        <v>2303</v>
      </c>
      <c r="C147" s="10" t="n">
        <v>70000</v>
      </c>
      <c r="D147" s="10" t="n">
        <v>2500470000</v>
      </c>
      <c r="E147" s="9" t="s">
        <v>2384</v>
      </c>
      <c r="F147" s="9" t="s">
        <v>1706</v>
      </c>
      <c r="G147" s="6" t="s">
        <v>2284</v>
      </c>
      <c r="H147" s="6" t="s">
        <v>2394</v>
      </c>
      <c r="I147" s="10" t="n">
        <v>302240</v>
      </c>
      <c r="J147" s="9" t="s">
        <v>1707</v>
      </c>
    </row>
    <row r="148" customFormat="false" ht="15" hidden="false" customHeight="false" outlineLevel="0" collapsed="false">
      <c r="A148" s="6" t="s">
        <v>250</v>
      </c>
      <c r="B148" s="6" t="s">
        <v>2303</v>
      </c>
      <c r="C148" s="10" t="n">
        <v>101619</v>
      </c>
      <c r="D148" s="10" t="n">
        <v>30384122035</v>
      </c>
      <c r="E148" s="9" t="s">
        <v>2441</v>
      </c>
      <c r="F148" s="9" t="s">
        <v>2328</v>
      </c>
      <c r="G148" s="6" t="s">
        <v>2315</v>
      </c>
      <c r="H148" s="6" t="s">
        <v>2551</v>
      </c>
      <c r="I148" s="10" t="n">
        <v>93837</v>
      </c>
      <c r="J148" s="9" t="s">
        <v>1647</v>
      </c>
    </row>
    <row r="149" customFormat="false" ht="15" hidden="false" customHeight="false" outlineLevel="0" collapsed="false">
      <c r="A149" s="6" t="s">
        <v>250</v>
      </c>
      <c r="B149" s="6" t="s">
        <v>2323</v>
      </c>
      <c r="C149" s="10" t="n">
        <v>192126</v>
      </c>
      <c r="D149" s="10"/>
      <c r="E149" s="6"/>
      <c r="F149" s="6"/>
      <c r="G149" s="6"/>
      <c r="H149" s="6" t="s">
        <v>2386</v>
      </c>
      <c r="I149" s="10" t="n">
        <v>93837</v>
      </c>
      <c r="J149" s="9" t="s">
        <v>2552</v>
      </c>
    </row>
    <row r="150" customFormat="false" ht="15" hidden="false" customHeight="false" outlineLevel="0" collapsed="false">
      <c r="A150" s="9" t="s">
        <v>319</v>
      </c>
      <c r="B150" s="6" t="s">
        <v>2303</v>
      </c>
      <c r="C150" s="10" t="n">
        <v>86969</v>
      </c>
      <c r="D150" s="10" t="n">
        <v>4461509700</v>
      </c>
      <c r="E150" s="9" t="s">
        <v>2453</v>
      </c>
      <c r="F150" s="9" t="s">
        <v>2553</v>
      </c>
      <c r="G150" s="6" t="s">
        <v>2413</v>
      </c>
      <c r="H150" s="6" t="s">
        <v>2554</v>
      </c>
      <c r="I150" s="10" t="n">
        <v>1032720</v>
      </c>
      <c r="J150" s="9" t="s">
        <v>2555</v>
      </c>
    </row>
    <row r="151" customFormat="false" ht="15" hidden="false" customHeight="false" outlineLevel="0" collapsed="false">
      <c r="A151" s="9" t="s">
        <v>319</v>
      </c>
      <c r="B151" s="6" t="s">
        <v>2303</v>
      </c>
      <c r="C151" s="10" t="n">
        <v>4587</v>
      </c>
      <c r="D151" s="10" t="n">
        <v>232102200</v>
      </c>
      <c r="E151" s="9" t="s">
        <v>2556</v>
      </c>
      <c r="F151" s="9" t="s">
        <v>2557</v>
      </c>
      <c r="G151" s="6" t="s">
        <v>2413</v>
      </c>
      <c r="H151" s="6" t="s">
        <v>2558</v>
      </c>
      <c r="I151" s="10" t="n">
        <v>945751</v>
      </c>
      <c r="J151" s="9" t="s">
        <v>1514</v>
      </c>
    </row>
    <row r="152" customFormat="false" ht="15" hidden="false" customHeight="false" outlineLevel="0" collapsed="false">
      <c r="A152" s="9" t="s">
        <v>407</v>
      </c>
      <c r="B152" s="6" t="s">
        <v>2323</v>
      </c>
      <c r="C152" s="10" t="n">
        <v>1070090</v>
      </c>
      <c r="D152" s="10" t="n">
        <v>20000000000</v>
      </c>
      <c r="E152" s="6"/>
      <c r="F152" s="6"/>
      <c r="G152" s="6"/>
      <c r="H152" s="6" t="s">
        <v>2559</v>
      </c>
      <c r="I152" s="10" t="n">
        <v>2156830</v>
      </c>
      <c r="J152" s="9" t="s">
        <v>1373</v>
      </c>
    </row>
    <row r="153" customFormat="false" ht="15" hidden="false" customHeight="false" outlineLevel="0" collapsed="false">
      <c r="A153" s="9" t="s">
        <v>407</v>
      </c>
      <c r="B153" s="6" t="s">
        <v>2323</v>
      </c>
      <c r="C153" s="10" t="n">
        <v>1545595</v>
      </c>
      <c r="D153" s="10" t="n">
        <v>30000000000</v>
      </c>
      <c r="E153" s="6"/>
      <c r="F153" s="6"/>
      <c r="G153" s="6"/>
      <c r="H153" s="6" t="s">
        <v>2362</v>
      </c>
      <c r="I153" s="10" t="n">
        <v>3127352</v>
      </c>
      <c r="J153" s="9" t="s">
        <v>2560</v>
      </c>
    </row>
    <row r="154" customFormat="false" ht="15" hidden="false" customHeight="false" outlineLevel="0" collapsed="false">
      <c r="A154" s="9" t="s">
        <v>325</v>
      </c>
      <c r="B154" s="6" t="s">
        <v>2323</v>
      </c>
      <c r="C154" s="10" t="n">
        <v>391254</v>
      </c>
      <c r="D154" s="10" t="n">
        <v>17136925200</v>
      </c>
      <c r="E154" s="6"/>
      <c r="F154" s="6"/>
      <c r="G154" s="6"/>
      <c r="H154" s="6" t="s">
        <v>2561</v>
      </c>
      <c r="I154" s="10"/>
      <c r="J154" s="9" t="s">
        <v>2562</v>
      </c>
    </row>
    <row r="155" customFormat="false" ht="15" hidden="false" customHeight="false" outlineLevel="0" collapsed="false">
      <c r="A155" s="6" t="s">
        <v>322</v>
      </c>
      <c r="B155" s="6" t="s">
        <v>2303</v>
      </c>
      <c r="C155" s="10" t="n">
        <v>200000</v>
      </c>
      <c r="D155" s="10" t="n">
        <v>35985200000</v>
      </c>
      <c r="E155" s="9" t="s">
        <v>2563</v>
      </c>
      <c r="F155" s="9" t="s">
        <v>2563</v>
      </c>
      <c r="G155" s="6" t="s">
        <v>2284</v>
      </c>
      <c r="H155" s="6" t="s">
        <v>2348</v>
      </c>
      <c r="I155" s="10"/>
      <c r="J155" s="9" t="s">
        <v>2564</v>
      </c>
    </row>
    <row r="156" customFormat="false" ht="15" hidden="false" customHeight="false" outlineLevel="0" collapsed="false">
      <c r="A156" s="6" t="s">
        <v>322</v>
      </c>
      <c r="B156" s="6" t="s">
        <v>2303</v>
      </c>
      <c r="C156" s="10" t="n">
        <v>203401</v>
      </c>
      <c r="D156" s="10" t="n">
        <v>45552264153</v>
      </c>
      <c r="E156" s="9" t="s">
        <v>2396</v>
      </c>
      <c r="F156" s="9" t="s">
        <v>2396</v>
      </c>
      <c r="G156" s="6" t="s">
        <v>2413</v>
      </c>
      <c r="H156" s="6" t="s">
        <v>2565</v>
      </c>
      <c r="I156" s="10"/>
      <c r="J156" s="9" t="s">
        <v>2566</v>
      </c>
    </row>
    <row r="157" customFormat="false" ht="15" hidden="false" customHeight="false" outlineLevel="0" collapsed="false">
      <c r="A157" s="6" t="s">
        <v>328</v>
      </c>
      <c r="B157" s="6" t="s">
        <v>2303</v>
      </c>
      <c r="C157" s="10" t="n">
        <v>454666</v>
      </c>
      <c r="D157" s="10" t="n">
        <v>2291516640</v>
      </c>
      <c r="E157" s="9" t="s">
        <v>2567</v>
      </c>
      <c r="F157" s="9" t="s">
        <v>2567</v>
      </c>
      <c r="G157" s="6" t="s">
        <v>2284</v>
      </c>
      <c r="H157" s="6" t="s">
        <v>2568</v>
      </c>
      <c r="I157" s="10" t="n">
        <v>1684066</v>
      </c>
      <c r="J157" s="9" t="s">
        <v>2569</v>
      </c>
    </row>
    <row r="158" customFormat="false" ht="15" hidden="false" customHeight="false" outlineLevel="0" collapsed="false">
      <c r="A158" s="6" t="s">
        <v>328</v>
      </c>
      <c r="B158" s="6" t="s">
        <v>2303</v>
      </c>
      <c r="C158" s="10" t="n">
        <v>90000</v>
      </c>
      <c r="D158" s="10" t="n">
        <v>2200500000</v>
      </c>
      <c r="E158" s="9" t="s">
        <v>1711</v>
      </c>
      <c r="F158" s="9" t="s">
        <v>1711</v>
      </c>
      <c r="G158" s="6" t="s">
        <v>2284</v>
      </c>
      <c r="H158" s="6" t="s">
        <v>2568</v>
      </c>
      <c r="I158" s="10" t="n">
        <v>1229400</v>
      </c>
      <c r="J158" s="9" t="s">
        <v>1712</v>
      </c>
    </row>
    <row r="159" customFormat="false" ht="15" hidden="false" customHeight="false" outlineLevel="0" collapsed="false">
      <c r="A159" s="6" t="s">
        <v>308</v>
      </c>
      <c r="B159" s="6" t="s">
        <v>2303</v>
      </c>
      <c r="C159" s="10" t="n">
        <v>15707</v>
      </c>
      <c r="D159" s="10" t="n">
        <v>2943491800</v>
      </c>
      <c r="E159" s="9" t="s">
        <v>2516</v>
      </c>
      <c r="F159" s="9" t="s">
        <v>2556</v>
      </c>
      <c r="G159" s="6" t="s">
        <v>2284</v>
      </c>
      <c r="H159" s="6" t="s">
        <v>2570</v>
      </c>
      <c r="I159" s="10"/>
      <c r="J159" s="9" t="s">
        <v>2571</v>
      </c>
    </row>
    <row r="160" customFormat="false" ht="15" hidden="false" customHeight="false" outlineLevel="0" collapsed="false">
      <c r="A160" s="6" t="s">
        <v>374</v>
      </c>
      <c r="B160" s="6" t="s">
        <v>2303</v>
      </c>
      <c r="C160" s="10" t="n">
        <v>269815</v>
      </c>
      <c r="D160" s="10" t="n">
        <v>12047239750</v>
      </c>
      <c r="E160" s="9" t="s">
        <v>2572</v>
      </c>
      <c r="F160" s="9" t="s">
        <v>2573</v>
      </c>
      <c r="G160" s="6" t="s">
        <v>2315</v>
      </c>
      <c r="H160" s="6" t="s">
        <v>2318</v>
      </c>
      <c r="I160" s="10"/>
      <c r="J160" s="9" t="s">
        <v>2574</v>
      </c>
    </row>
  </sheetData>
  <autoFilter ref="A4:J1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5.02"/>
    <col collapsed="false" customWidth="true" hidden="false" outlineLevel="0" max="3" min="3" style="0" width="11.68"/>
    <col collapsed="false" customWidth="true" hidden="false" outlineLevel="0" max="4" min="4" style="0" width="13.35"/>
    <col collapsed="false" customWidth="true" hidden="false" outlineLevel="0" max="5" min="5" style="0" width="20.03"/>
    <col collapsed="false" customWidth="true" hidden="false" outlineLevel="0" max="6" min="6" style="0" width="12.52"/>
    <col collapsed="false" customWidth="true" hidden="false" outlineLevel="0" max="7" min="7" style="0" width="15.02"/>
    <col collapsed="false" customWidth="true" hidden="false" outlineLevel="0" max="8" min="8" style="0" width="9.18"/>
    <col collapsed="false" customWidth="true" hidden="false" outlineLevel="0" max="10" min="9" style="0" width="10.02"/>
    <col collapsed="false" customWidth="true" hidden="false" outlineLevel="0" max="11" min="11" style="0" width="15.02"/>
    <col collapsed="false" customWidth="true" hidden="false" outlineLevel="0" max="12" min="12" style="0" width="13.35"/>
  </cols>
  <sheetData>
    <row r="1" customFormat="false" ht="17.35" hidden="false" customHeight="false" outlineLevel="0" collapsed="false">
      <c r="A1" s="1" t="s">
        <v>2575</v>
      </c>
    </row>
    <row r="2" customFormat="false" ht="15" hidden="false" customHeight="false" outlineLevel="0" collapsed="false">
      <c r="A2" s="2" t="s">
        <v>2576</v>
      </c>
    </row>
    <row r="4" customFormat="false" ht="30" hidden="false" customHeight="true" outlineLevel="0" collapsed="false">
      <c r="A4" s="5" t="s">
        <v>38</v>
      </c>
      <c r="B4" s="5" t="s">
        <v>2577</v>
      </c>
      <c r="C4" s="5" t="s">
        <v>2578</v>
      </c>
      <c r="D4" s="5" t="s">
        <v>2579</v>
      </c>
      <c r="E4" s="5" t="s">
        <v>2580</v>
      </c>
      <c r="F4" s="5" t="s">
        <v>2581</v>
      </c>
      <c r="G4" s="5" t="s">
        <v>2582</v>
      </c>
      <c r="H4" s="5" t="s">
        <v>2583</v>
      </c>
      <c r="I4" s="5" t="s">
        <v>2584</v>
      </c>
      <c r="J4" s="5" t="s">
        <v>2585</v>
      </c>
      <c r="K4" s="5" t="s">
        <v>2586</v>
      </c>
      <c r="L4" s="5" t="s">
        <v>437</v>
      </c>
    </row>
    <row r="5" customFormat="false" ht="15" hidden="false" customHeight="false" outlineLevel="0" collapsed="false">
      <c r="A5" s="6" t="s">
        <v>208</v>
      </c>
      <c r="B5" s="6" t="s">
        <v>2587</v>
      </c>
      <c r="C5" s="6" t="s">
        <v>2588</v>
      </c>
      <c r="D5" s="6" t="s">
        <v>2589</v>
      </c>
      <c r="E5" s="6" t="s">
        <v>2590</v>
      </c>
      <c r="F5" s="10" t="n">
        <v>1722738</v>
      </c>
      <c r="G5" s="10" t="n">
        <v>600000000000</v>
      </c>
      <c r="H5" s="14" t="n">
        <v>8.25</v>
      </c>
      <c r="I5" s="9" t="s">
        <v>2591</v>
      </c>
      <c r="J5" s="9" t="s">
        <v>2592</v>
      </c>
      <c r="K5" s="6" t="s">
        <v>2587</v>
      </c>
      <c r="L5" s="9" t="s">
        <v>1785</v>
      </c>
    </row>
    <row r="6" customFormat="false" ht="15" hidden="false" customHeight="false" outlineLevel="0" collapsed="false">
      <c r="A6" s="6" t="s">
        <v>208</v>
      </c>
      <c r="B6" s="6" t="s">
        <v>2593</v>
      </c>
      <c r="C6" s="6" t="s">
        <v>2594</v>
      </c>
      <c r="D6" s="6" t="s">
        <v>2589</v>
      </c>
      <c r="E6" s="6" t="s">
        <v>2595</v>
      </c>
      <c r="F6" s="10" t="n">
        <v>5100</v>
      </c>
      <c r="G6" s="10" t="n">
        <v>1000000000</v>
      </c>
      <c r="H6" s="14" t="n">
        <v>0.02</v>
      </c>
      <c r="I6" s="9" t="s">
        <v>2591</v>
      </c>
      <c r="J6" s="9" t="s">
        <v>2596</v>
      </c>
      <c r="K6" s="6" t="s">
        <v>2593</v>
      </c>
      <c r="L6" s="9" t="s">
        <v>2597</v>
      </c>
    </row>
    <row r="7" customFormat="false" ht="15" hidden="false" customHeight="false" outlineLevel="0" collapsed="false">
      <c r="A7" s="6" t="s">
        <v>208</v>
      </c>
      <c r="B7" s="6" t="s">
        <v>2598</v>
      </c>
      <c r="C7" s="6" t="s">
        <v>2594</v>
      </c>
      <c r="D7" s="6" t="s">
        <v>2589</v>
      </c>
      <c r="E7" s="6" t="s">
        <v>2599</v>
      </c>
      <c r="F7" s="10" t="n">
        <v>37659</v>
      </c>
      <c r="G7" s="10" t="n">
        <v>15499806200</v>
      </c>
      <c r="H7" s="14" t="n">
        <v>0.18</v>
      </c>
      <c r="I7" s="9" t="s">
        <v>2510</v>
      </c>
      <c r="J7" s="9" t="s">
        <v>1783</v>
      </c>
      <c r="K7" s="6" t="s">
        <v>2598</v>
      </c>
      <c r="L7" s="9" t="s">
        <v>2597</v>
      </c>
    </row>
    <row r="8" customFormat="false" ht="15" hidden="false" customHeight="false" outlineLevel="0" collapsed="false">
      <c r="A8" s="6" t="s">
        <v>208</v>
      </c>
      <c r="B8" s="6" t="s">
        <v>2598</v>
      </c>
      <c r="C8" s="6" t="s">
        <v>2594</v>
      </c>
      <c r="D8" s="6" t="s">
        <v>2589</v>
      </c>
      <c r="E8" s="6" t="s">
        <v>2599</v>
      </c>
      <c r="F8" s="10" t="n">
        <v>58602</v>
      </c>
      <c r="G8" s="10" t="n">
        <v>11500000000</v>
      </c>
      <c r="H8" s="14" t="n">
        <v>0.28</v>
      </c>
      <c r="I8" s="9" t="s">
        <v>2510</v>
      </c>
      <c r="J8" s="9" t="s">
        <v>1783</v>
      </c>
      <c r="K8" s="6" t="s">
        <v>2598</v>
      </c>
      <c r="L8" s="9" t="s">
        <v>2597</v>
      </c>
    </row>
    <row r="9" customFormat="false" ht="15" hidden="false" customHeight="false" outlineLevel="0" collapsed="false">
      <c r="A9" s="6" t="s">
        <v>208</v>
      </c>
      <c r="B9" s="6" t="s">
        <v>2600</v>
      </c>
      <c r="C9" s="6" t="s">
        <v>2594</v>
      </c>
      <c r="D9" s="6" t="s">
        <v>2589</v>
      </c>
      <c r="E9" s="9" t="s">
        <v>2601</v>
      </c>
      <c r="F9" s="10" t="n">
        <v>207336</v>
      </c>
      <c r="G9" s="10" t="n">
        <v>82000000000</v>
      </c>
      <c r="H9" s="14" t="n">
        <v>0.99</v>
      </c>
      <c r="I9" s="9" t="s">
        <v>2403</v>
      </c>
      <c r="J9" s="9" t="s">
        <v>2602</v>
      </c>
      <c r="K9" s="6" t="s">
        <v>2600</v>
      </c>
      <c r="L9" s="9" t="s">
        <v>2597</v>
      </c>
    </row>
    <row r="10" customFormat="false" ht="15" hidden="false" customHeight="false" outlineLevel="0" collapsed="false">
      <c r="A10" s="6" t="s">
        <v>208</v>
      </c>
      <c r="B10" s="6" t="s">
        <v>2603</v>
      </c>
      <c r="C10" s="6" t="s">
        <v>2604</v>
      </c>
      <c r="D10" s="6" t="s">
        <v>2589</v>
      </c>
      <c r="E10" s="6" t="s">
        <v>2605</v>
      </c>
      <c r="F10" s="10" t="n">
        <v>26563</v>
      </c>
      <c r="G10" s="10" t="n">
        <v>9840000000</v>
      </c>
      <c r="H10" s="14" t="n">
        <v>0.13</v>
      </c>
      <c r="I10" s="9" t="s">
        <v>2535</v>
      </c>
      <c r="J10" s="9" t="s">
        <v>2606</v>
      </c>
      <c r="K10" s="6" t="s">
        <v>2603</v>
      </c>
      <c r="L10" s="9" t="s">
        <v>2597</v>
      </c>
    </row>
    <row r="11" customFormat="false" ht="15" hidden="false" customHeight="false" outlineLevel="0" collapsed="false">
      <c r="A11" s="6" t="s">
        <v>208</v>
      </c>
      <c r="B11" s="6" t="s">
        <v>2607</v>
      </c>
      <c r="C11" s="6" t="s">
        <v>2594</v>
      </c>
      <c r="D11" s="6" t="s">
        <v>2589</v>
      </c>
      <c r="E11" s="6" t="s">
        <v>2605</v>
      </c>
      <c r="F11" s="10" t="n">
        <v>10523</v>
      </c>
      <c r="G11" s="10" t="n">
        <v>3900000000</v>
      </c>
      <c r="H11" s="14" t="n">
        <v>0.05</v>
      </c>
      <c r="I11" s="9" t="s">
        <v>2535</v>
      </c>
      <c r="J11" s="9" t="s">
        <v>2606</v>
      </c>
      <c r="K11" s="6" t="s">
        <v>2607</v>
      </c>
      <c r="L11" s="9" t="s">
        <v>2597</v>
      </c>
    </row>
    <row r="12" customFormat="false" ht="15" hidden="false" customHeight="false" outlineLevel="0" collapsed="false">
      <c r="A12" s="6" t="s">
        <v>208</v>
      </c>
      <c r="B12" s="6" t="s">
        <v>2608</v>
      </c>
      <c r="C12" s="6" t="s">
        <v>2594</v>
      </c>
      <c r="D12" s="6" t="s">
        <v>2589</v>
      </c>
      <c r="E12" s="6" t="s">
        <v>2605</v>
      </c>
      <c r="F12" s="10" t="n">
        <v>14112</v>
      </c>
      <c r="G12" s="10" t="n">
        <v>5230000000</v>
      </c>
      <c r="H12" s="14" t="n">
        <v>0.07</v>
      </c>
      <c r="I12" s="9" t="s">
        <v>2535</v>
      </c>
      <c r="J12" s="9" t="s">
        <v>2606</v>
      </c>
      <c r="K12" s="6" t="s">
        <v>2608</v>
      </c>
      <c r="L12" s="9" t="s">
        <v>2597</v>
      </c>
    </row>
    <row r="13" customFormat="false" ht="15" hidden="false" customHeight="false" outlineLevel="0" collapsed="false">
      <c r="A13" s="6" t="s">
        <v>208</v>
      </c>
      <c r="B13" s="6" t="s">
        <v>2609</v>
      </c>
      <c r="C13" s="6" t="s">
        <v>2594</v>
      </c>
      <c r="D13" s="6" t="s">
        <v>2589</v>
      </c>
      <c r="E13" s="6" t="s">
        <v>2605</v>
      </c>
      <c r="F13" s="10" t="n">
        <v>5458</v>
      </c>
      <c r="G13" s="10" t="n">
        <v>3600000000</v>
      </c>
      <c r="H13" s="14" t="n">
        <v>0.03</v>
      </c>
      <c r="I13" s="9" t="s">
        <v>2338</v>
      </c>
      <c r="J13" s="9" t="s">
        <v>2606</v>
      </c>
      <c r="K13" s="6" t="s">
        <v>2609</v>
      </c>
      <c r="L13" s="9" t="s">
        <v>2597</v>
      </c>
    </row>
    <row r="14" customFormat="false" ht="15" hidden="false" customHeight="false" outlineLevel="0" collapsed="false">
      <c r="A14" s="6" t="s">
        <v>208</v>
      </c>
      <c r="B14" s="6" t="s">
        <v>2610</v>
      </c>
      <c r="C14" s="6" t="s">
        <v>2594</v>
      </c>
      <c r="D14" s="6" t="s">
        <v>2589</v>
      </c>
      <c r="E14" s="6" t="s">
        <v>2605</v>
      </c>
      <c r="F14" s="10" t="n">
        <v>12747</v>
      </c>
      <c r="G14" s="10" t="n">
        <v>4730000000</v>
      </c>
      <c r="H14" s="14" t="n">
        <v>0.06</v>
      </c>
      <c r="I14" s="9" t="s">
        <v>2535</v>
      </c>
      <c r="J14" s="9" t="s">
        <v>2606</v>
      </c>
      <c r="K14" s="6" t="s">
        <v>2610</v>
      </c>
      <c r="L14" s="9" t="s">
        <v>2597</v>
      </c>
    </row>
    <row r="15" customFormat="false" ht="15" hidden="false" customHeight="false" outlineLevel="0" collapsed="false">
      <c r="A15" s="6" t="s">
        <v>208</v>
      </c>
      <c r="B15" s="6" t="s">
        <v>2611</v>
      </c>
      <c r="C15" s="6" t="s">
        <v>2594</v>
      </c>
      <c r="D15" s="6" t="s">
        <v>2589</v>
      </c>
      <c r="E15" s="6" t="s">
        <v>2605</v>
      </c>
      <c r="F15" s="10" t="n">
        <v>16222</v>
      </c>
      <c r="G15" s="10" t="n">
        <v>10700000000</v>
      </c>
      <c r="H15" s="14" t="n">
        <v>0.08</v>
      </c>
      <c r="I15" s="9" t="s">
        <v>2338</v>
      </c>
      <c r="J15" s="9" t="s">
        <v>2606</v>
      </c>
      <c r="K15" s="6" t="s">
        <v>2611</v>
      </c>
      <c r="L15" s="9" t="s">
        <v>2597</v>
      </c>
    </row>
    <row r="16" customFormat="false" ht="15" hidden="false" customHeight="false" outlineLevel="0" collapsed="false">
      <c r="A16" s="6" t="s">
        <v>208</v>
      </c>
      <c r="B16" s="6" t="s">
        <v>2612</v>
      </c>
      <c r="C16" s="6" t="s">
        <v>2594</v>
      </c>
      <c r="D16" s="6" t="s">
        <v>2589</v>
      </c>
      <c r="E16" s="6" t="s">
        <v>2605</v>
      </c>
      <c r="F16" s="10" t="n">
        <v>29170</v>
      </c>
      <c r="G16" s="10" t="n">
        <v>10760000000</v>
      </c>
      <c r="H16" s="14" t="n">
        <v>0.14</v>
      </c>
      <c r="I16" s="9" t="s">
        <v>2613</v>
      </c>
      <c r="J16" s="9" t="s">
        <v>2606</v>
      </c>
      <c r="K16" s="6" t="s">
        <v>2612</v>
      </c>
      <c r="L16" s="9" t="s">
        <v>2597</v>
      </c>
    </row>
    <row r="17" customFormat="false" ht="15" hidden="false" customHeight="false" outlineLevel="0" collapsed="false">
      <c r="A17" s="6" t="s">
        <v>208</v>
      </c>
      <c r="B17" s="6" t="s">
        <v>2614</v>
      </c>
      <c r="C17" s="6" t="s">
        <v>2594</v>
      </c>
      <c r="D17" s="6" t="s">
        <v>2589</v>
      </c>
      <c r="E17" s="6" t="s">
        <v>2605</v>
      </c>
      <c r="F17" s="10" t="n">
        <v>14116</v>
      </c>
      <c r="G17" s="10" t="n">
        <v>5230000000</v>
      </c>
      <c r="H17" s="14" t="n">
        <v>0.07</v>
      </c>
      <c r="I17" s="9" t="s">
        <v>2613</v>
      </c>
      <c r="J17" s="9" t="s">
        <v>2606</v>
      </c>
      <c r="K17" s="6" t="s">
        <v>2614</v>
      </c>
      <c r="L17" s="9" t="s">
        <v>2597</v>
      </c>
    </row>
    <row r="18" customFormat="false" ht="15" hidden="false" customHeight="false" outlineLevel="0" collapsed="false">
      <c r="A18" s="6" t="s">
        <v>208</v>
      </c>
      <c r="B18" s="6" t="s">
        <v>2600</v>
      </c>
      <c r="C18" s="6" t="s">
        <v>2594</v>
      </c>
      <c r="D18" s="6" t="s">
        <v>2589</v>
      </c>
      <c r="E18" s="6" t="s">
        <v>2615</v>
      </c>
      <c r="F18" s="10" t="n">
        <v>50000</v>
      </c>
      <c r="G18" s="10" t="n">
        <v>115500000000</v>
      </c>
      <c r="H18" s="14" t="n">
        <v>0.24</v>
      </c>
      <c r="I18" s="9" t="s">
        <v>2616</v>
      </c>
      <c r="J18" s="6"/>
      <c r="K18" s="6" t="s">
        <v>2617</v>
      </c>
      <c r="L18" s="9" t="s">
        <v>2597</v>
      </c>
    </row>
    <row r="19" customFormat="false" ht="68.65" hidden="false" customHeight="false" outlineLevel="0" collapsed="false">
      <c r="A19" s="6" t="s">
        <v>208</v>
      </c>
      <c r="B19" s="6" t="s">
        <v>2603</v>
      </c>
      <c r="C19" s="6" t="s">
        <v>2604</v>
      </c>
      <c r="D19" s="6" t="s">
        <v>2589</v>
      </c>
      <c r="E19" s="11" t="s">
        <v>2618</v>
      </c>
      <c r="F19" s="10" t="n">
        <v>185494</v>
      </c>
      <c r="G19" s="10"/>
      <c r="H19" s="14" t="n">
        <v>0.89</v>
      </c>
      <c r="I19" s="9" t="s">
        <v>2619</v>
      </c>
      <c r="J19" s="9" t="s">
        <v>2620</v>
      </c>
      <c r="K19" s="6"/>
      <c r="L19" s="9" t="s">
        <v>2597</v>
      </c>
    </row>
    <row r="20" customFormat="false" ht="68.65" hidden="false" customHeight="false" outlineLevel="0" collapsed="false">
      <c r="A20" s="6" t="s">
        <v>208</v>
      </c>
      <c r="B20" s="6" t="s">
        <v>2607</v>
      </c>
      <c r="C20" s="6" t="s">
        <v>2594</v>
      </c>
      <c r="D20" s="6" t="s">
        <v>2589</v>
      </c>
      <c r="E20" s="11" t="s">
        <v>2618</v>
      </c>
      <c r="F20" s="10" t="n">
        <v>15020</v>
      </c>
      <c r="G20" s="10" t="n">
        <v>569333938053</v>
      </c>
      <c r="H20" s="14" t="n">
        <v>0.07</v>
      </c>
      <c r="I20" s="9" t="s">
        <v>2619</v>
      </c>
      <c r="J20" s="9" t="s">
        <v>2620</v>
      </c>
      <c r="K20" s="6" t="s">
        <v>2621</v>
      </c>
      <c r="L20" s="9" t="s">
        <v>2597</v>
      </c>
    </row>
    <row r="21" customFormat="false" ht="68.65" hidden="false" customHeight="false" outlineLevel="0" collapsed="false">
      <c r="A21" s="6" t="s">
        <v>208</v>
      </c>
      <c r="B21" s="6" t="s">
        <v>2622</v>
      </c>
      <c r="C21" s="6" t="s">
        <v>2594</v>
      </c>
      <c r="D21" s="6" t="s">
        <v>2589</v>
      </c>
      <c r="E21" s="11" t="s">
        <v>2618</v>
      </c>
      <c r="F21" s="10" t="n">
        <v>35000</v>
      </c>
      <c r="G21" s="10" t="n">
        <v>569333938053</v>
      </c>
      <c r="H21" s="14" t="n">
        <v>0.17</v>
      </c>
      <c r="I21" s="9" t="s">
        <v>2619</v>
      </c>
      <c r="J21" s="9" t="s">
        <v>2620</v>
      </c>
      <c r="K21" s="6" t="s">
        <v>2621</v>
      </c>
      <c r="L21" s="9" t="s">
        <v>2597</v>
      </c>
    </row>
    <row r="22" customFormat="false" ht="68.65" hidden="false" customHeight="false" outlineLevel="0" collapsed="false">
      <c r="A22" s="6" t="s">
        <v>208</v>
      </c>
      <c r="B22" s="6" t="s">
        <v>2608</v>
      </c>
      <c r="C22" s="6" t="s">
        <v>2594</v>
      </c>
      <c r="D22" s="6" t="s">
        <v>2589</v>
      </c>
      <c r="E22" s="11" t="s">
        <v>2618</v>
      </c>
      <c r="F22" s="10" t="n">
        <v>65000</v>
      </c>
      <c r="G22" s="10" t="n">
        <v>569333938053</v>
      </c>
      <c r="H22" s="14" t="n">
        <v>0.31</v>
      </c>
      <c r="I22" s="9" t="s">
        <v>2619</v>
      </c>
      <c r="J22" s="9" t="s">
        <v>2620</v>
      </c>
      <c r="K22" s="6" t="s">
        <v>2621</v>
      </c>
      <c r="L22" s="9" t="s">
        <v>2597</v>
      </c>
    </row>
    <row r="23" customFormat="false" ht="68.65" hidden="false" customHeight="false" outlineLevel="0" collapsed="false">
      <c r="A23" s="6" t="s">
        <v>208</v>
      </c>
      <c r="B23" s="6" t="s">
        <v>2609</v>
      </c>
      <c r="C23" s="6" t="s">
        <v>2594</v>
      </c>
      <c r="D23" s="6" t="s">
        <v>2589</v>
      </c>
      <c r="E23" s="11" t="s">
        <v>2618</v>
      </c>
      <c r="F23" s="10" t="n">
        <v>60270</v>
      </c>
      <c r="G23" s="10" t="n">
        <v>569333938053</v>
      </c>
      <c r="H23" s="14" t="n">
        <v>0.29</v>
      </c>
      <c r="I23" s="9" t="s">
        <v>2148</v>
      </c>
      <c r="J23" s="9" t="s">
        <v>2620</v>
      </c>
      <c r="K23" s="6" t="s">
        <v>2621</v>
      </c>
      <c r="L23" s="9" t="s">
        <v>2597</v>
      </c>
    </row>
    <row r="24" customFormat="false" ht="68.65" hidden="false" customHeight="false" outlineLevel="0" collapsed="false">
      <c r="A24" s="6" t="s">
        <v>208</v>
      </c>
      <c r="B24" s="6" t="s">
        <v>2610</v>
      </c>
      <c r="C24" s="6" t="s">
        <v>2594</v>
      </c>
      <c r="D24" s="6" t="s">
        <v>2589</v>
      </c>
      <c r="E24" s="11" t="s">
        <v>2618</v>
      </c>
      <c r="F24" s="10" t="n">
        <v>90549</v>
      </c>
      <c r="G24" s="10" t="n">
        <v>569333938053</v>
      </c>
      <c r="H24" s="14" t="n">
        <v>0.43</v>
      </c>
      <c r="I24" s="9" t="s">
        <v>2619</v>
      </c>
      <c r="J24" s="9" t="s">
        <v>2620</v>
      </c>
      <c r="K24" s="6" t="s">
        <v>2621</v>
      </c>
      <c r="L24" s="9" t="s">
        <v>2597</v>
      </c>
    </row>
    <row r="25" customFormat="false" ht="68.65" hidden="false" customHeight="false" outlineLevel="0" collapsed="false">
      <c r="A25" s="6" t="s">
        <v>208</v>
      </c>
      <c r="B25" s="6" t="s">
        <v>2611</v>
      </c>
      <c r="C25" s="6" t="s">
        <v>2594</v>
      </c>
      <c r="D25" s="6" t="s">
        <v>2589</v>
      </c>
      <c r="E25" s="11" t="s">
        <v>2618</v>
      </c>
      <c r="F25" s="10" t="n">
        <v>143493</v>
      </c>
      <c r="G25" s="10" t="n">
        <v>569333938053</v>
      </c>
      <c r="H25" s="14" t="n">
        <v>0.69</v>
      </c>
      <c r="I25" s="9" t="s">
        <v>2148</v>
      </c>
      <c r="J25" s="9" t="s">
        <v>2620</v>
      </c>
      <c r="K25" s="6" t="s">
        <v>2621</v>
      </c>
      <c r="L25" s="9" t="s">
        <v>2597</v>
      </c>
    </row>
    <row r="26" customFormat="false" ht="68.65" hidden="false" customHeight="false" outlineLevel="0" collapsed="false">
      <c r="A26" s="6" t="s">
        <v>208</v>
      </c>
      <c r="B26" s="6" t="s">
        <v>2623</v>
      </c>
      <c r="C26" s="6" t="s">
        <v>2594</v>
      </c>
      <c r="D26" s="6" t="s">
        <v>2589</v>
      </c>
      <c r="E26" s="11" t="s">
        <v>2618</v>
      </c>
      <c r="F26" s="10" t="n">
        <v>26526</v>
      </c>
      <c r="G26" s="10" t="n">
        <v>569333938053</v>
      </c>
      <c r="H26" s="14" t="n">
        <v>0.13</v>
      </c>
      <c r="I26" s="9" t="s">
        <v>2619</v>
      </c>
      <c r="J26" s="9" t="s">
        <v>2620</v>
      </c>
      <c r="K26" s="6" t="s">
        <v>2621</v>
      </c>
      <c r="L26" s="9" t="s">
        <v>2597</v>
      </c>
    </row>
    <row r="27" customFormat="false" ht="68.65" hidden="false" customHeight="false" outlineLevel="0" collapsed="false">
      <c r="A27" s="6" t="s">
        <v>208</v>
      </c>
      <c r="B27" s="6" t="s">
        <v>2593</v>
      </c>
      <c r="C27" s="6" t="s">
        <v>2594</v>
      </c>
      <c r="D27" s="6" t="s">
        <v>2589</v>
      </c>
      <c r="E27" s="11" t="s">
        <v>2618</v>
      </c>
      <c r="F27" s="10" t="n">
        <v>2430</v>
      </c>
      <c r="G27" s="10" t="n">
        <v>569333938053</v>
      </c>
      <c r="H27" s="14" t="n">
        <v>0.01</v>
      </c>
      <c r="I27" s="9" t="s">
        <v>2204</v>
      </c>
      <c r="J27" s="9" t="s">
        <v>2620</v>
      </c>
      <c r="K27" s="6" t="s">
        <v>2621</v>
      </c>
      <c r="L27" s="9" t="s">
        <v>2597</v>
      </c>
    </row>
    <row r="28" customFormat="false" ht="68.65" hidden="false" customHeight="false" outlineLevel="0" collapsed="false">
      <c r="A28" s="6" t="s">
        <v>208</v>
      </c>
      <c r="B28" s="6" t="s">
        <v>2612</v>
      </c>
      <c r="C28" s="6" t="s">
        <v>2594</v>
      </c>
      <c r="D28" s="6" t="s">
        <v>2589</v>
      </c>
      <c r="E28" s="11" t="s">
        <v>2618</v>
      </c>
      <c r="F28" s="10" t="n">
        <v>207033</v>
      </c>
      <c r="G28" s="10" t="n">
        <v>569333938053</v>
      </c>
      <c r="H28" s="14" t="n">
        <v>0.99</v>
      </c>
      <c r="I28" s="9" t="s">
        <v>2619</v>
      </c>
      <c r="J28" s="9" t="s">
        <v>2620</v>
      </c>
      <c r="K28" s="6" t="s">
        <v>2621</v>
      </c>
      <c r="L28" s="9" t="s">
        <v>2597</v>
      </c>
    </row>
    <row r="29" customFormat="false" ht="68.65" hidden="false" customHeight="false" outlineLevel="0" collapsed="false">
      <c r="A29" s="6" t="s">
        <v>208</v>
      </c>
      <c r="B29" s="6" t="s">
        <v>2614</v>
      </c>
      <c r="C29" s="6" t="s">
        <v>2594</v>
      </c>
      <c r="D29" s="6" t="s">
        <v>2589</v>
      </c>
      <c r="E29" s="11" t="s">
        <v>2618</v>
      </c>
      <c r="F29" s="10" t="n">
        <v>60035</v>
      </c>
      <c r="G29" s="10" t="n">
        <v>569333938053</v>
      </c>
      <c r="H29" s="14" t="n">
        <v>0.29</v>
      </c>
      <c r="I29" s="9" t="s">
        <v>2204</v>
      </c>
      <c r="J29" s="9" t="s">
        <v>2620</v>
      </c>
      <c r="K29" s="6" t="s">
        <v>2621</v>
      </c>
      <c r="L29" s="9" t="s">
        <v>2597</v>
      </c>
    </row>
    <row r="30" customFormat="false" ht="68.65" hidden="false" customHeight="false" outlineLevel="0" collapsed="false">
      <c r="A30" s="6" t="s">
        <v>208</v>
      </c>
      <c r="B30" s="6" t="s">
        <v>2621</v>
      </c>
      <c r="C30" s="6" t="s">
        <v>2588</v>
      </c>
      <c r="D30" s="6" t="s">
        <v>2589</v>
      </c>
      <c r="E30" s="11" t="s">
        <v>2618</v>
      </c>
      <c r="F30" s="10" t="n">
        <v>419082</v>
      </c>
      <c r="G30" s="10" t="n">
        <v>569333938053</v>
      </c>
      <c r="H30" s="14" t="n">
        <v>2.01</v>
      </c>
      <c r="I30" s="9" t="s">
        <v>2204</v>
      </c>
      <c r="J30" s="9" t="s">
        <v>2620</v>
      </c>
      <c r="K30" s="6" t="s">
        <v>2621</v>
      </c>
      <c r="L30" s="9" t="s">
        <v>2597</v>
      </c>
    </row>
    <row r="31" customFormat="false" ht="15" hidden="false" customHeight="false" outlineLevel="0" collapsed="false">
      <c r="A31" s="6" t="s">
        <v>121</v>
      </c>
      <c r="B31" s="9" t="s">
        <v>2624</v>
      </c>
      <c r="C31" s="6" t="s">
        <v>2594</v>
      </c>
      <c r="D31" s="6" t="s">
        <v>2625</v>
      </c>
      <c r="E31" s="6" t="s">
        <v>2626</v>
      </c>
      <c r="F31" s="10" t="n">
        <v>685000</v>
      </c>
      <c r="G31" s="10" t="n">
        <v>4800000000</v>
      </c>
      <c r="H31" s="14" t="n">
        <v>4.33</v>
      </c>
      <c r="I31" s="9" t="s">
        <v>2627</v>
      </c>
      <c r="J31" s="6"/>
      <c r="K31" s="9" t="s">
        <v>2624</v>
      </c>
      <c r="L31" s="9" t="s">
        <v>2007</v>
      </c>
    </row>
    <row r="32" customFormat="false" ht="15" hidden="false" customHeight="false" outlineLevel="0" collapsed="false">
      <c r="A32" s="6" t="s">
        <v>121</v>
      </c>
      <c r="B32" s="9" t="s">
        <v>2624</v>
      </c>
      <c r="C32" s="6" t="s">
        <v>2594</v>
      </c>
      <c r="D32" s="6" t="s">
        <v>2625</v>
      </c>
      <c r="E32" s="6" t="s">
        <v>2628</v>
      </c>
      <c r="F32" s="10" t="n">
        <v>404041</v>
      </c>
      <c r="G32" s="10" t="n">
        <v>3000000000</v>
      </c>
      <c r="H32" s="14" t="n">
        <v>2.56</v>
      </c>
      <c r="I32" s="9" t="s">
        <v>2629</v>
      </c>
      <c r="J32" s="6"/>
      <c r="K32" s="9" t="s">
        <v>2624</v>
      </c>
      <c r="L32" s="9" t="s">
        <v>2007</v>
      </c>
    </row>
    <row r="33" customFormat="false" ht="15" hidden="false" customHeight="false" outlineLevel="0" collapsed="false">
      <c r="A33" s="6" t="s">
        <v>121</v>
      </c>
      <c r="B33" s="9" t="s">
        <v>2624</v>
      </c>
      <c r="C33" s="6" t="s">
        <v>2594</v>
      </c>
      <c r="D33" s="6" t="s">
        <v>2625</v>
      </c>
      <c r="E33" s="6" t="s">
        <v>2626</v>
      </c>
      <c r="F33" s="10" t="n">
        <v>-685000</v>
      </c>
      <c r="G33" s="10"/>
      <c r="H33" s="14" t="n">
        <v>-4.33</v>
      </c>
      <c r="I33" s="9" t="s">
        <v>2175</v>
      </c>
      <c r="J33" s="6"/>
      <c r="K33" s="6"/>
      <c r="L33" s="9" t="s">
        <v>2007</v>
      </c>
    </row>
    <row r="34" customFormat="false" ht="15" hidden="false" customHeight="false" outlineLevel="0" collapsed="false">
      <c r="A34" s="6" t="s">
        <v>121</v>
      </c>
      <c r="B34" s="9" t="s">
        <v>2624</v>
      </c>
      <c r="C34" s="6" t="s">
        <v>2594</v>
      </c>
      <c r="D34" s="6" t="s">
        <v>2625</v>
      </c>
      <c r="E34" s="6" t="s">
        <v>2628</v>
      </c>
      <c r="F34" s="10" t="n">
        <v>-404041</v>
      </c>
      <c r="G34" s="10"/>
      <c r="H34" s="14" t="n">
        <v>-2.56</v>
      </c>
      <c r="I34" s="9" t="s">
        <v>2175</v>
      </c>
      <c r="J34" s="6"/>
      <c r="K34" s="6"/>
      <c r="L34" s="9" t="s">
        <v>2007</v>
      </c>
    </row>
    <row r="35" customFormat="false" ht="15" hidden="false" customHeight="false" outlineLevel="0" collapsed="false">
      <c r="A35" s="6" t="s">
        <v>121</v>
      </c>
      <c r="B35" s="9" t="s">
        <v>2624</v>
      </c>
      <c r="C35" s="6" t="s">
        <v>2594</v>
      </c>
      <c r="D35" s="6" t="s">
        <v>2625</v>
      </c>
      <c r="E35" s="6" t="s">
        <v>2626</v>
      </c>
      <c r="F35" s="10" t="n">
        <v>685000</v>
      </c>
      <c r="G35" s="10" t="n">
        <v>4800000000</v>
      </c>
      <c r="H35" s="14" t="n">
        <v>4.33</v>
      </c>
      <c r="I35" s="9" t="s">
        <v>2627</v>
      </c>
      <c r="J35" s="6"/>
      <c r="K35" s="9" t="s">
        <v>2624</v>
      </c>
      <c r="L35" s="9" t="s">
        <v>2630</v>
      </c>
    </row>
    <row r="36" customFormat="false" ht="15" hidden="false" customHeight="false" outlineLevel="0" collapsed="false">
      <c r="A36" s="6" t="s">
        <v>121</v>
      </c>
      <c r="B36" s="9" t="s">
        <v>2624</v>
      </c>
      <c r="C36" s="6" t="s">
        <v>2594</v>
      </c>
      <c r="D36" s="6" t="s">
        <v>2625</v>
      </c>
      <c r="E36" s="6" t="s">
        <v>2628</v>
      </c>
      <c r="F36" s="10" t="n">
        <v>404041</v>
      </c>
      <c r="G36" s="10" t="n">
        <v>3000000000</v>
      </c>
      <c r="H36" s="14" t="n">
        <v>2.56</v>
      </c>
      <c r="I36" s="9" t="s">
        <v>2629</v>
      </c>
      <c r="J36" s="6"/>
      <c r="K36" s="9" t="s">
        <v>2624</v>
      </c>
      <c r="L36" s="9" t="s">
        <v>2630</v>
      </c>
    </row>
    <row r="37" customFormat="false" ht="15" hidden="false" customHeight="false" outlineLevel="0" collapsed="false">
      <c r="A37" s="6" t="s">
        <v>217</v>
      </c>
      <c r="B37" s="6" t="s">
        <v>2631</v>
      </c>
      <c r="C37" s="6" t="s">
        <v>2604</v>
      </c>
      <c r="D37" s="6" t="s">
        <v>2632</v>
      </c>
      <c r="E37" s="6" t="s">
        <v>2633</v>
      </c>
      <c r="F37" s="10" t="n">
        <v>10757306</v>
      </c>
      <c r="G37" s="10" t="n">
        <v>40000000000</v>
      </c>
      <c r="H37" s="14" t="n">
        <v>1.9</v>
      </c>
      <c r="I37" s="9" t="s">
        <v>2634</v>
      </c>
      <c r="J37" s="6"/>
      <c r="K37" s="6" t="s">
        <v>2635</v>
      </c>
      <c r="L37" s="9" t="s">
        <v>1998</v>
      </c>
    </row>
    <row r="38" customFormat="false" ht="15" hidden="false" customHeight="false" outlineLevel="0" collapsed="false">
      <c r="A38" s="6" t="s">
        <v>217</v>
      </c>
      <c r="B38" s="6" t="s">
        <v>2631</v>
      </c>
      <c r="C38" s="6" t="s">
        <v>2604</v>
      </c>
      <c r="D38" s="6" t="s">
        <v>2632</v>
      </c>
      <c r="E38" s="6" t="s">
        <v>2633</v>
      </c>
      <c r="F38" s="10" t="n">
        <v>10757306</v>
      </c>
      <c r="G38" s="10"/>
      <c r="H38" s="14" t="n">
        <v>1.9</v>
      </c>
      <c r="I38" s="9" t="s">
        <v>2636</v>
      </c>
      <c r="J38" s="6"/>
      <c r="K38" s="6"/>
      <c r="L38" s="9" t="s">
        <v>2637</v>
      </c>
    </row>
    <row r="39" customFormat="false" ht="15" hidden="false" customHeight="false" outlineLevel="0" collapsed="false">
      <c r="A39" s="6" t="s">
        <v>222</v>
      </c>
      <c r="B39" s="6" t="s">
        <v>2638</v>
      </c>
      <c r="C39" s="6" t="s">
        <v>2594</v>
      </c>
      <c r="D39" s="6" t="s">
        <v>22</v>
      </c>
      <c r="E39" s="6" t="s">
        <v>2639</v>
      </c>
      <c r="F39" s="10" t="n">
        <v>20235</v>
      </c>
      <c r="G39" s="10"/>
      <c r="H39" s="14" t="n">
        <v>0.12</v>
      </c>
      <c r="I39" s="9" t="s">
        <v>2542</v>
      </c>
      <c r="J39" s="9" t="s">
        <v>1839</v>
      </c>
      <c r="K39" s="6"/>
      <c r="L39" s="9" t="s">
        <v>1840</v>
      </c>
    </row>
    <row r="40" customFormat="false" ht="15" hidden="false" customHeight="false" outlineLevel="0" collapsed="false">
      <c r="A40" s="6" t="s">
        <v>222</v>
      </c>
      <c r="B40" s="6" t="s">
        <v>2640</v>
      </c>
      <c r="C40" s="6" t="s">
        <v>2604</v>
      </c>
      <c r="D40" s="6" t="s">
        <v>2641</v>
      </c>
      <c r="E40" s="6" t="s">
        <v>2595</v>
      </c>
      <c r="F40" s="10" t="n">
        <v>75000</v>
      </c>
      <c r="G40" s="10"/>
      <c r="H40" s="14" t="n">
        <v>0.46</v>
      </c>
      <c r="I40" s="9" t="s">
        <v>2642</v>
      </c>
      <c r="J40" s="9" t="s">
        <v>2643</v>
      </c>
      <c r="K40" s="6"/>
      <c r="L40" s="9" t="s">
        <v>1840</v>
      </c>
    </row>
    <row r="41" customFormat="false" ht="15" hidden="false" customHeight="false" outlineLevel="0" collapsed="false">
      <c r="A41" s="6" t="s">
        <v>222</v>
      </c>
      <c r="B41" s="6" t="s">
        <v>2644</v>
      </c>
      <c r="C41" s="6" t="s">
        <v>2594</v>
      </c>
      <c r="D41" s="6" t="s">
        <v>2641</v>
      </c>
      <c r="E41" s="6" t="s">
        <v>2595</v>
      </c>
      <c r="F41" s="10" t="n">
        <v>50000</v>
      </c>
      <c r="G41" s="10" t="n">
        <v>11</v>
      </c>
      <c r="H41" s="14" t="n">
        <v>0.31</v>
      </c>
      <c r="I41" s="9" t="s">
        <v>2642</v>
      </c>
      <c r="J41" s="9" t="s">
        <v>2643</v>
      </c>
      <c r="K41" s="9" t="s">
        <v>2645</v>
      </c>
      <c r="L41" s="9" t="s">
        <v>1840</v>
      </c>
    </row>
    <row r="42" customFormat="false" ht="15" hidden="false" customHeight="false" outlineLevel="0" collapsed="false">
      <c r="A42" s="6" t="s">
        <v>222</v>
      </c>
      <c r="B42" s="6" t="s">
        <v>2638</v>
      </c>
      <c r="C42" s="6" t="s">
        <v>2594</v>
      </c>
      <c r="D42" s="6" t="s">
        <v>2641</v>
      </c>
      <c r="E42" s="6" t="s">
        <v>2595</v>
      </c>
      <c r="F42" s="10" t="n">
        <v>25000</v>
      </c>
      <c r="G42" s="10" t="n">
        <v>350</v>
      </c>
      <c r="H42" s="14" t="n">
        <v>0.15</v>
      </c>
      <c r="I42" s="9" t="s">
        <v>2642</v>
      </c>
      <c r="J42" s="9" t="s">
        <v>2643</v>
      </c>
      <c r="K42" s="6" t="s">
        <v>2646</v>
      </c>
      <c r="L42" s="9" t="s">
        <v>1840</v>
      </c>
    </row>
    <row r="43" customFormat="false" ht="15" hidden="false" customHeight="false" outlineLevel="0" collapsed="false">
      <c r="A43" s="6" t="s">
        <v>222</v>
      </c>
      <c r="B43" s="6" t="s">
        <v>2647</v>
      </c>
      <c r="C43" s="6" t="s">
        <v>2594</v>
      </c>
      <c r="D43" s="6" t="s">
        <v>2641</v>
      </c>
      <c r="E43" s="6" t="s">
        <v>2595</v>
      </c>
      <c r="F43" s="10" t="n">
        <v>68800</v>
      </c>
      <c r="G43" s="10"/>
      <c r="H43" s="14" t="n">
        <v>0.42</v>
      </c>
      <c r="I43" s="9" t="s">
        <v>2642</v>
      </c>
      <c r="J43" s="9" t="s">
        <v>2643</v>
      </c>
      <c r="K43" s="6"/>
      <c r="L43" s="9" t="s">
        <v>1840</v>
      </c>
    </row>
    <row r="44" customFormat="false" ht="15" hidden="false" customHeight="false" outlineLevel="0" collapsed="false">
      <c r="A44" s="6" t="s">
        <v>222</v>
      </c>
      <c r="B44" s="6" t="s">
        <v>2648</v>
      </c>
      <c r="C44" s="6" t="s">
        <v>2594</v>
      </c>
      <c r="D44" s="6" t="s">
        <v>2641</v>
      </c>
      <c r="E44" s="6" t="s">
        <v>2595</v>
      </c>
      <c r="F44" s="10" t="n">
        <v>56200</v>
      </c>
      <c r="G44" s="10"/>
      <c r="H44" s="14" t="n">
        <v>0.35</v>
      </c>
      <c r="I44" s="9" t="s">
        <v>2642</v>
      </c>
      <c r="J44" s="9" t="s">
        <v>2643</v>
      </c>
      <c r="K44" s="6"/>
      <c r="L44" s="9" t="s">
        <v>1840</v>
      </c>
    </row>
    <row r="45" customFormat="false" ht="15" hidden="false" customHeight="false" outlineLevel="0" collapsed="false">
      <c r="A45" s="6" t="s">
        <v>222</v>
      </c>
      <c r="B45" s="6" t="s">
        <v>2649</v>
      </c>
      <c r="C45" s="6" t="s">
        <v>2594</v>
      </c>
      <c r="D45" s="6" t="s">
        <v>2641</v>
      </c>
      <c r="E45" s="6" t="s">
        <v>2595</v>
      </c>
      <c r="F45" s="10" t="n">
        <v>50000</v>
      </c>
      <c r="G45" s="10"/>
      <c r="H45" s="14" t="n">
        <v>0.31</v>
      </c>
      <c r="I45" s="9" t="s">
        <v>2642</v>
      </c>
      <c r="J45" s="9" t="s">
        <v>2643</v>
      </c>
      <c r="K45" s="6"/>
      <c r="L45" s="9" t="s">
        <v>1840</v>
      </c>
    </row>
    <row r="46" customFormat="false" ht="15" hidden="false" customHeight="false" outlineLevel="0" collapsed="false">
      <c r="A46" s="6" t="s">
        <v>222</v>
      </c>
      <c r="B46" s="6" t="s">
        <v>2650</v>
      </c>
      <c r="C46" s="6" t="s">
        <v>2594</v>
      </c>
      <c r="D46" s="6" t="s">
        <v>2641</v>
      </c>
      <c r="E46" s="6" t="s">
        <v>2595</v>
      </c>
      <c r="F46" s="10" t="n">
        <v>37500</v>
      </c>
      <c r="G46" s="10"/>
      <c r="H46" s="14" t="n">
        <v>0.23</v>
      </c>
      <c r="I46" s="9" t="s">
        <v>2642</v>
      </c>
      <c r="J46" s="9" t="s">
        <v>2643</v>
      </c>
      <c r="K46" s="6"/>
      <c r="L46" s="9" t="s">
        <v>1840</v>
      </c>
    </row>
    <row r="47" customFormat="false" ht="15" hidden="false" customHeight="false" outlineLevel="0" collapsed="false">
      <c r="A47" s="6" t="s">
        <v>222</v>
      </c>
      <c r="B47" s="6" t="s">
        <v>2651</v>
      </c>
      <c r="C47" s="6" t="s">
        <v>2594</v>
      </c>
      <c r="D47" s="6" t="s">
        <v>2641</v>
      </c>
      <c r="E47" s="6" t="s">
        <v>2595</v>
      </c>
      <c r="F47" s="10" t="n">
        <v>37500</v>
      </c>
      <c r="G47" s="10"/>
      <c r="H47" s="14" t="n">
        <v>0.23</v>
      </c>
      <c r="I47" s="9" t="s">
        <v>2642</v>
      </c>
      <c r="J47" s="9" t="s">
        <v>2643</v>
      </c>
      <c r="K47" s="6"/>
      <c r="L47" s="9" t="s">
        <v>1840</v>
      </c>
    </row>
    <row r="48" customFormat="false" ht="15" hidden="false" customHeight="false" outlineLevel="0" collapsed="false">
      <c r="A48" s="6" t="s">
        <v>222</v>
      </c>
      <c r="B48" s="6" t="s">
        <v>2652</v>
      </c>
      <c r="C48" s="6" t="s">
        <v>2594</v>
      </c>
      <c r="D48" s="6" t="s">
        <v>22</v>
      </c>
      <c r="E48" s="6" t="s">
        <v>2639</v>
      </c>
      <c r="F48" s="10" t="n">
        <v>7239</v>
      </c>
      <c r="G48" s="10"/>
      <c r="H48" s="14" t="n">
        <v>0.04</v>
      </c>
      <c r="I48" s="9" t="s">
        <v>2417</v>
      </c>
      <c r="J48" s="9" t="s">
        <v>2366</v>
      </c>
      <c r="K48" s="6"/>
      <c r="L48" s="9" t="s">
        <v>1840</v>
      </c>
    </row>
    <row r="49" customFormat="false" ht="15" hidden="false" customHeight="false" outlineLevel="0" collapsed="false">
      <c r="A49" s="6" t="s">
        <v>222</v>
      </c>
      <c r="B49" s="6" t="s">
        <v>2652</v>
      </c>
      <c r="C49" s="6" t="s">
        <v>2594</v>
      </c>
      <c r="D49" s="6" t="s">
        <v>22</v>
      </c>
      <c r="E49" s="6" t="s">
        <v>2639</v>
      </c>
      <c r="F49" s="10" t="n">
        <v>1696</v>
      </c>
      <c r="G49" s="10"/>
      <c r="H49" s="14" t="n">
        <v>0.01</v>
      </c>
      <c r="I49" s="9" t="s">
        <v>2653</v>
      </c>
      <c r="J49" s="9" t="s">
        <v>2366</v>
      </c>
      <c r="K49" s="6"/>
      <c r="L49" s="9" t="s">
        <v>1840</v>
      </c>
    </row>
    <row r="50" customFormat="false" ht="15" hidden="false" customHeight="false" outlineLevel="0" collapsed="false">
      <c r="A50" s="6" t="s">
        <v>222</v>
      </c>
      <c r="B50" s="6" t="s">
        <v>2640</v>
      </c>
      <c r="C50" s="6" t="s">
        <v>2604</v>
      </c>
      <c r="D50" s="6" t="s">
        <v>2641</v>
      </c>
      <c r="E50" s="6" t="s">
        <v>2654</v>
      </c>
      <c r="F50" s="10" t="n">
        <v>75000</v>
      </c>
      <c r="G50" s="10"/>
      <c r="H50" s="14" t="n">
        <v>0.46</v>
      </c>
      <c r="I50" s="9" t="s">
        <v>2655</v>
      </c>
      <c r="J50" s="9" t="s">
        <v>2656</v>
      </c>
      <c r="K50" s="6"/>
      <c r="L50" s="9" t="s">
        <v>2657</v>
      </c>
    </row>
    <row r="51" customFormat="false" ht="15" hidden="false" customHeight="false" outlineLevel="0" collapsed="false">
      <c r="A51" s="6" t="s">
        <v>222</v>
      </c>
      <c r="B51" s="6" t="s">
        <v>2644</v>
      </c>
      <c r="C51" s="6" t="s">
        <v>2594</v>
      </c>
      <c r="D51" s="6" t="s">
        <v>2641</v>
      </c>
      <c r="E51" s="6" t="s">
        <v>2654</v>
      </c>
      <c r="F51" s="10" t="n">
        <v>50000</v>
      </c>
      <c r="G51" s="10"/>
      <c r="H51" s="14" t="n">
        <v>0.31</v>
      </c>
      <c r="I51" s="9" t="s">
        <v>2655</v>
      </c>
      <c r="J51" s="9" t="s">
        <v>2656</v>
      </c>
      <c r="K51" s="6"/>
      <c r="L51" s="9" t="s">
        <v>2657</v>
      </c>
    </row>
    <row r="52" customFormat="false" ht="15" hidden="false" customHeight="false" outlineLevel="0" collapsed="false">
      <c r="A52" s="6" t="s">
        <v>222</v>
      </c>
      <c r="B52" s="6" t="s">
        <v>2638</v>
      </c>
      <c r="C52" s="6" t="s">
        <v>2594</v>
      </c>
      <c r="D52" s="6" t="s">
        <v>2641</v>
      </c>
      <c r="E52" s="6" t="s">
        <v>2654</v>
      </c>
      <c r="F52" s="10" t="n">
        <v>25000</v>
      </c>
      <c r="G52" s="10" t="n">
        <v>400</v>
      </c>
      <c r="H52" s="14" t="n">
        <v>0.15</v>
      </c>
      <c r="I52" s="9" t="s">
        <v>2655</v>
      </c>
      <c r="J52" s="9" t="s">
        <v>2656</v>
      </c>
      <c r="K52" s="9" t="s">
        <v>2658</v>
      </c>
      <c r="L52" s="9" t="s">
        <v>2657</v>
      </c>
    </row>
    <row r="53" customFormat="false" ht="15" hidden="false" customHeight="false" outlineLevel="0" collapsed="false">
      <c r="A53" s="6" t="s">
        <v>222</v>
      </c>
      <c r="B53" s="6" t="s">
        <v>2647</v>
      </c>
      <c r="C53" s="6" t="s">
        <v>2594</v>
      </c>
      <c r="D53" s="6" t="s">
        <v>2641</v>
      </c>
      <c r="E53" s="6" t="s">
        <v>2654</v>
      </c>
      <c r="F53" s="10" t="n">
        <v>68800</v>
      </c>
      <c r="G53" s="10"/>
      <c r="H53" s="14" t="n">
        <v>0.42</v>
      </c>
      <c r="I53" s="9" t="s">
        <v>2655</v>
      </c>
      <c r="J53" s="9" t="s">
        <v>2656</v>
      </c>
      <c r="K53" s="6"/>
      <c r="L53" s="9" t="s">
        <v>2657</v>
      </c>
    </row>
    <row r="54" customFormat="false" ht="15" hidden="false" customHeight="false" outlineLevel="0" collapsed="false">
      <c r="A54" s="6" t="s">
        <v>222</v>
      </c>
      <c r="B54" s="6" t="s">
        <v>2648</v>
      </c>
      <c r="C54" s="6" t="s">
        <v>2594</v>
      </c>
      <c r="D54" s="6" t="s">
        <v>2641</v>
      </c>
      <c r="E54" s="6" t="s">
        <v>2654</v>
      </c>
      <c r="F54" s="10" t="n">
        <v>56200</v>
      </c>
      <c r="G54" s="10"/>
      <c r="H54" s="14" t="n">
        <v>0.35</v>
      </c>
      <c r="I54" s="9" t="s">
        <v>2655</v>
      </c>
      <c r="J54" s="9" t="s">
        <v>2656</v>
      </c>
      <c r="K54" s="6"/>
      <c r="L54" s="9" t="s">
        <v>2657</v>
      </c>
    </row>
    <row r="55" customFormat="false" ht="15" hidden="false" customHeight="false" outlineLevel="0" collapsed="false">
      <c r="A55" s="6" t="s">
        <v>222</v>
      </c>
      <c r="B55" s="6" t="s">
        <v>2649</v>
      </c>
      <c r="C55" s="6" t="s">
        <v>2594</v>
      </c>
      <c r="D55" s="6" t="s">
        <v>2641</v>
      </c>
      <c r="E55" s="6" t="s">
        <v>2654</v>
      </c>
      <c r="F55" s="10" t="n">
        <v>50000</v>
      </c>
      <c r="G55" s="10"/>
      <c r="H55" s="14" t="n">
        <v>0.31</v>
      </c>
      <c r="I55" s="9" t="s">
        <v>2655</v>
      </c>
      <c r="J55" s="9" t="s">
        <v>2656</v>
      </c>
      <c r="K55" s="6"/>
      <c r="L55" s="9" t="s">
        <v>2657</v>
      </c>
    </row>
    <row r="56" customFormat="false" ht="15" hidden="false" customHeight="false" outlineLevel="0" collapsed="false">
      <c r="A56" s="6" t="s">
        <v>222</v>
      </c>
      <c r="B56" s="6" t="s">
        <v>2650</v>
      </c>
      <c r="C56" s="6" t="s">
        <v>2594</v>
      </c>
      <c r="D56" s="6" t="s">
        <v>2641</v>
      </c>
      <c r="E56" s="6" t="s">
        <v>2654</v>
      </c>
      <c r="F56" s="10" t="n">
        <v>37500</v>
      </c>
      <c r="G56" s="10"/>
      <c r="H56" s="14" t="n">
        <v>0.23</v>
      </c>
      <c r="I56" s="9" t="s">
        <v>2655</v>
      </c>
      <c r="J56" s="9" t="s">
        <v>2656</v>
      </c>
      <c r="K56" s="6"/>
      <c r="L56" s="9" t="s">
        <v>2657</v>
      </c>
    </row>
    <row r="57" customFormat="false" ht="15" hidden="false" customHeight="false" outlineLevel="0" collapsed="false">
      <c r="A57" s="6" t="s">
        <v>222</v>
      </c>
      <c r="B57" s="6" t="s">
        <v>2651</v>
      </c>
      <c r="C57" s="6" t="s">
        <v>2594</v>
      </c>
      <c r="D57" s="6" t="s">
        <v>2641</v>
      </c>
      <c r="E57" s="6" t="s">
        <v>2654</v>
      </c>
      <c r="F57" s="10" t="n">
        <v>37500</v>
      </c>
      <c r="G57" s="10"/>
      <c r="H57" s="14" t="n">
        <v>0.23</v>
      </c>
      <c r="I57" s="9" t="s">
        <v>2655</v>
      </c>
      <c r="J57" s="9" t="s">
        <v>2656</v>
      </c>
      <c r="K57" s="6"/>
      <c r="L57" s="9" t="s">
        <v>2657</v>
      </c>
    </row>
    <row r="58" customFormat="false" ht="15" hidden="false" customHeight="false" outlineLevel="0" collapsed="false">
      <c r="A58" s="6" t="s">
        <v>222</v>
      </c>
      <c r="B58" s="6" t="s">
        <v>2652</v>
      </c>
      <c r="C58" s="6" t="s">
        <v>2594</v>
      </c>
      <c r="D58" s="6" t="s">
        <v>22</v>
      </c>
      <c r="E58" s="6" t="s">
        <v>2659</v>
      </c>
      <c r="F58" s="10" t="n">
        <v>7239</v>
      </c>
      <c r="G58" s="10"/>
      <c r="H58" s="14" t="n">
        <v>0.04</v>
      </c>
      <c r="I58" s="9" t="s">
        <v>2417</v>
      </c>
      <c r="J58" s="9" t="s">
        <v>2366</v>
      </c>
      <c r="K58" s="6"/>
      <c r="L58" s="9" t="s">
        <v>2657</v>
      </c>
    </row>
    <row r="59" customFormat="false" ht="15" hidden="false" customHeight="false" outlineLevel="0" collapsed="false">
      <c r="A59" s="6" t="s">
        <v>222</v>
      </c>
      <c r="B59" s="6" t="s">
        <v>2652</v>
      </c>
      <c r="C59" s="6" t="s">
        <v>2594</v>
      </c>
      <c r="D59" s="6" t="s">
        <v>22</v>
      </c>
      <c r="E59" s="6" t="s">
        <v>2659</v>
      </c>
      <c r="F59" s="10" t="n">
        <v>1696</v>
      </c>
      <c r="G59" s="10"/>
      <c r="H59" s="14" t="n">
        <v>0.01</v>
      </c>
      <c r="I59" s="9" t="s">
        <v>2653</v>
      </c>
      <c r="J59" s="9" t="s">
        <v>2366</v>
      </c>
      <c r="K59" s="6"/>
      <c r="L59" s="9" t="s">
        <v>2657</v>
      </c>
    </row>
    <row r="60" customFormat="false" ht="15" hidden="false" customHeight="false" outlineLevel="0" collapsed="false">
      <c r="A60" s="6" t="s">
        <v>117</v>
      </c>
      <c r="B60" s="6" t="s">
        <v>2660</v>
      </c>
      <c r="C60" s="6" t="s">
        <v>2594</v>
      </c>
      <c r="D60" s="6" t="s">
        <v>2589</v>
      </c>
      <c r="E60" s="6" t="s">
        <v>217</v>
      </c>
      <c r="F60" s="10" t="n">
        <v>58651</v>
      </c>
      <c r="G60" s="10" t="n">
        <v>99998200</v>
      </c>
      <c r="H60" s="14" t="n">
        <v>0.2</v>
      </c>
      <c r="I60" s="9" t="s">
        <v>2661</v>
      </c>
      <c r="J60" s="9" t="s">
        <v>2072</v>
      </c>
      <c r="K60" s="9" t="s">
        <v>2645</v>
      </c>
      <c r="L60" s="9" t="s">
        <v>2074</v>
      </c>
    </row>
    <row r="61" customFormat="false" ht="15" hidden="false" customHeight="false" outlineLevel="0" collapsed="false">
      <c r="A61" s="6" t="s">
        <v>169</v>
      </c>
      <c r="B61" s="6" t="s">
        <v>2662</v>
      </c>
      <c r="C61" s="6" t="s">
        <v>2594</v>
      </c>
      <c r="D61" s="6" t="s">
        <v>2589</v>
      </c>
      <c r="E61" s="6" t="s">
        <v>2663</v>
      </c>
      <c r="F61" s="10" t="n">
        <v>4876000</v>
      </c>
      <c r="G61" s="10" t="n">
        <v>190000000000</v>
      </c>
      <c r="H61" s="14" t="n">
        <v>0.08</v>
      </c>
      <c r="I61" s="9" t="s">
        <v>2664</v>
      </c>
      <c r="J61" s="6"/>
      <c r="K61" s="9" t="s">
        <v>2645</v>
      </c>
      <c r="L61" s="9" t="s">
        <v>1800</v>
      </c>
    </row>
    <row r="62" customFormat="false" ht="15" hidden="false" customHeight="false" outlineLevel="0" collapsed="false">
      <c r="A62" s="6" t="s">
        <v>169</v>
      </c>
      <c r="B62" s="6" t="s">
        <v>2662</v>
      </c>
      <c r="C62" s="6" t="s">
        <v>2594</v>
      </c>
      <c r="D62" s="6" t="s">
        <v>2589</v>
      </c>
      <c r="E62" s="6" t="s">
        <v>2626</v>
      </c>
      <c r="F62" s="10" t="n">
        <v>4705000</v>
      </c>
      <c r="G62" s="10" t="n">
        <v>200000000000</v>
      </c>
      <c r="H62" s="14" t="n">
        <v>0.08</v>
      </c>
      <c r="I62" s="9" t="s">
        <v>2664</v>
      </c>
      <c r="J62" s="6"/>
      <c r="K62" s="9" t="s">
        <v>2645</v>
      </c>
      <c r="L62" s="9" t="s">
        <v>1800</v>
      </c>
    </row>
    <row r="63" customFormat="false" ht="15" hidden="false" customHeight="false" outlineLevel="0" collapsed="false">
      <c r="A63" s="6" t="s">
        <v>169</v>
      </c>
      <c r="B63" s="6" t="s">
        <v>2662</v>
      </c>
      <c r="C63" s="6" t="s">
        <v>2594</v>
      </c>
      <c r="D63" s="6" t="s">
        <v>2589</v>
      </c>
      <c r="E63" s="6" t="s">
        <v>2665</v>
      </c>
      <c r="F63" s="10" t="n">
        <v>4222000</v>
      </c>
      <c r="G63" s="10" t="n">
        <v>285000000000</v>
      </c>
      <c r="H63" s="14" t="n">
        <v>0.07</v>
      </c>
      <c r="I63" s="9" t="s">
        <v>2378</v>
      </c>
      <c r="J63" s="9" t="s">
        <v>2666</v>
      </c>
      <c r="K63" s="9" t="s">
        <v>2645</v>
      </c>
      <c r="L63" s="9" t="s">
        <v>1800</v>
      </c>
    </row>
    <row r="64" customFormat="false" ht="15" hidden="false" customHeight="false" outlineLevel="0" collapsed="false">
      <c r="A64" s="6" t="s">
        <v>169</v>
      </c>
      <c r="B64" s="6" t="s">
        <v>2662</v>
      </c>
      <c r="C64" s="6" t="s">
        <v>2594</v>
      </c>
      <c r="D64" s="6" t="s">
        <v>2589</v>
      </c>
      <c r="E64" s="6" t="s">
        <v>2667</v>
      </c>
      <c r="F64" s="10" t="n">
        <v>1633000</v>
      </c>
      <c r="G64" s="10" t="n">
        <v>175000000000</v>
      </c>
      <c r="H64" s="14" t="n">
        <v>0.03</v>
      </c>
      <c r="I64" s="9" t="s">
        <v>2225</v>
      </c>
      <c r="J64" s="9" t="s">
        <v>2072</v>
      </c>
      <c r="K64" s="9" t="s">
        <v>2645</v>
      </c>
      <c r="L64" s="9" t="s">
        <v>1800</v>
      </c>
    </row>
    <row r="65" customFormat="false" ht="15" hidden="false" customHeight="false" outlineLevel="0" collapsed="false">
      <c r="A65" s="6" t="s">
        <v>169</v>
      </c>
      <c r="B65" s="6" t="s">
        <v>2668</v>
      </c>
      <c r="C65" s="6" t="s">
        <v>2594</v>
      </c>
      <c r="D65" s="6" t="s">
        <v>2589</v>
      </c>
      <c r="E65" s="6" t="s">
        <v>2626</v>
      </c>
      <c r="F65" s="10" t="n">
        <v>404000</v>
      </c>
      <c r="G65" s="10" t="n">
        <v>13000000000</v>
      </c>
      <c r="H65" s="14" t="n">
        <v>0.01</v>
      </c>
      <c r="I65" s="9" t="s">
        <v>2669</v>
      </c>
      <c r="J65" s="6"/>
      <c r="K65" s="9" t="s">
        <v>2645</v>
      </c>
      <c r="L65" s="9" t="s">
        <v>1800</v>
      </c>
    </row>
    <row r="66" customFormat="false" ht="15" hidden="false" customHeight="false" outlineLevel="0" collapsed="false">
      <c r="A66" s="6" t="s">
        <v>169</v>
      </c>
      <c r="B66" s="6" t="s">
        <v>2668</v>
      </c>
      <c r="C66" s="6" t="s">
        <v>2594</v>
      </c>
      <c r="D66" s="6" t="s">
        <v>2589</v>
      </c>
      <c r="E66" s="6" t="s">
        <v>2626</v>
      </c>
      <c r="F66" s="10" t="n">
        <v>801000</v>
      </c>
      <c r="G66" s="10" t="n">
        <v>25800000000</v>
      </c>
      <c r="H66" s="14" t="n">
        <v>0.01</v>
      </c>
      <c r="I66" s="9" t="s">
        <v>2669</v>
      </c>
      <c r="J66" s="6"/>
      <c r="K66" s="9" t="s">
        <v>2645</v>
      </c>
      <c r="L66" s="9" t="s">
        <v>1800</v>
      </c>
    </row>
    <row r="67" customFormat="false" ht="15" hidden="false" customHeight="false" outlineLevel="0" collapsed="false">
      <c r="A67" s="6" t="s">
        <v>169</v>
      </c>
      <c r="B67" s="6" t="s">
        <v>2662</v>
      </c>
      <c r="C67" s="6" t="s">
        <v>2594</v>
      </c>
      <c r="D67" s="6" t="s">
        <v>2589</v>
      </c>
      <c r="E67" s="6" t="s">
        <v>2626</v>
      </c>
      <c r="F67" s="10" t="n">
        <v>6588000</v>
      </c>
      <c r="G67" s="10" t="n">
        <v>220000000000</v>
      </c>
      <c r="H67" s="14" t="n">
        <v>0.11</v>
      </c>
      <c r="I67" s="9" t="s">
        <v>2670</v>
      </c>
      <c r="J67" s="6"/>
      <c r="K67" s="9" t="s">
        <v>2645</v>
      </c>
      <c r="L67" s="9" t="s">
        <v>1800</v>
      </c>
    </row>
    <row r="68" customFormat="false" ht="15" hidden="false" customHeight="false" outlineLevel="0" collapsed="false">
      <c r="A68" s="6" t="s">
        <v>169</v>
      </c>
      <c r="B68" s="6" t="s">
        <v>2668</v>
      </c>
      <c r="C68" s="6" t="s">
        <v>2594</v>
      </c>
      <c r="D68" s="6" t="s">
        <v>2589</v>
      </c>
      <c r="E68" s="6" t="s">
        <v>2626</v>
      </c>
      <c r="F68" s="10" t="n">
        <v>5690000</v>
      </c>
      <c r="G68" s="10" t="n">
        <v>190000000000</v>
      </c>
      <c r="H68" s="14" t="n">
        <v>0.1</v>
      </c>
      <c r="I68" s="9" t="s">
        <v>2671</v>
      </c>
      <c r="J68" s="6"/>
      <c r="K68" s="9" t="s">
        <v>2645</v>
      </c>
      <c r="L68" s="9" t="s">
        <v>1800</v>
      </c>
    </row>
    <row r="69" customFormat="false" ht="15" hidden="false" customHeight="false" outlineLevel="0" collapsed="false">
      <c r="A69" s="6" t="s">
        <v>169</v>
      </c>
      <c r="B69" s="6" t="s">
        <v>2662</v>
      </c>
      <c r="C69" s="6" t="s">
        <v>2594</v>
      </c>
      <c r="D69" s="6" t="s">
        <v>2589</v>
      </c>
      <c r="E69" s="6" t="s">
        <v>2665</v>
      </c>
      <c r="F69" s="10" t="n">
        <v>1482000</v>
      </c>
      <c r="G69" s="10" t="n">
        <v>100000000000</v>
      </c>
      <c r="H69" s="14" t="n">
        <v>0.03</v>
      </c>
      <c r="I69" s="9" t="s">
        <v>2378</v>
      </c>
      <c r="J69" s="9" t="s">
        <v>2666</v>
      </c>
      <c r="K69" s="9" t="s">
        <v>2645</v>
      </c>
      <c r="L69" s="9" t="s">
        <v>1800</v>
      </c>
    </row>
    <row r="70" customFormat="false" ht="15" hidden="false" customHeight="false" outlineLevel="0" collapsed="false">
      <c r="A70" s="6" t="s">
        <v>169</v>
      </c>
      <c r="B70" s="6" t="s">
        <v>2662</v>
      </c>
      <c r="C70" s="6" t="s">
        <v>2594</v>
      </c>
      <c r="D70" s="6" t="s">
        <v>2589</v>
      </c>
      <c r="E70" s="6" t="s">
        <v>2667</v>
      </c>
      <c r="F70" s="10" t="n">
        <v>1400000</v>
      </c>
      <c r="G70" s="10" t="n">
        <v>150000000000</v>
      </c>
      <c r="H70" s="14" t="n">
        <v>0.02</v>
      </c>
      <c r="I70" s="9" t="s">
        <v>2225</v>
      </c>
      <c r="J70" s="9" t="s">
        <v>2072</v>
      </c>
      <c r="K70" s="9" t="s">
        <v>2645</v>
      </c>
      <c r="L70" s="9" t="s">
        <v>1800</v>
      </c>
    </row>
    <row r="71" customFormat="false" ht="15" hidden="false" customHeight="false" outlineLevel="0" collapsed="false">
      <c r="A71" s="6" t="s">
        <v>169</v>
      </c>
      <c r="B71" s="6" t="s">
        <v>2662</v>
      </c>
      <c r="C71" s="6" t="s">
        <v>2594</v>
      </c>
      <c r="D71" s="6" t="s">
        <v>2589</v>
      </c>
      <c r="E71" s="6" t="s">
        <v>2665</v>
      </c>
      <c r="F71" s="10" t="n">
        <v>741000</v>
      </c>
      <c r="G71" s="10" t="n">
        <v>50000000000</v>
      </c>
      <c r="H71" s="14" t="n">
        <v>0.01</v>
      </c>
      <c r="I71" s="9" t="s">
        <v>2378</v>
      </c>
      <c r="J71" s="9" t="s">
        <v>2666</v>
      </c>
      <c r="K71" s="9" t="s">
        <v>2645</v>
      </c>
      <c r="L71" s="9" t="s">
        <v>1800</v>
      </c>
    </row>
    <row r="72" customFormat="false" ht="15" hidden="false" customHeight="false" outlineLevel="0" collapsed="false">
      <c r="A72" s="6" t="s">
        <v>169</v>
      </c>
      <c r="B72" s="6" t="s">
        <v>2662</v>
      </c>
      <c r="C72" s="6" t="s">
        <v>2594</v>
      </c>
      <c r="D72" s="6" t="s">
        <v>2589</v>
      </c>
      <c r="E72" s="6" t="s">
        <v>2672</v>
      </c>
      <c r="F72" s="10" t="n">
        <v>4278000</v>
      </c>
      <c r="G72" s="10" t="n">
        <v>275000000000</v>
      </c>
      <c r="H72" s="14" t="n">
        <v>0.07</v>
      </c>
      <c r="I72" s="9" t="s">
        <v>2591</v>
      </c>
      <c r="J72" s="9" t="s">
        <v>2673</v>
      </c>
      <c r="K72" s="9" t="s">
        <v>2645</v>
      </c>
      <c r="L72" s="9" t="s">
        <v>1800</v>
      </c>
    </row>
    <row r="73" customFormat="false" ht="15" hidden="false" customHeight="false" outlineLevel="0" collapsed="false">
      <c r="A73" s="6" t="s">
        <v>169</v>
      </c>
      <c r="B73" s="6" t="s">
        <v>2668</v>
      </c>
      <c r="C73" s="6" t="s">
        <v>2594</v>
      </c>
      <c r="D73" s="6" t="s">
        <v>2589</v>
      </c>
      <c r="E73" s="6" t="s">
        <v>2674</v>
      </c>
      <c r="F73" s="10" t="n">
        <v>644000</v>
      </c>
      <c r="G73" s="10" t="n">
        <v>69000000000</v>
      </c>
      <c r="H73" s="14" t="n">
        <v>0.01</v>
      </c>
      <c r="I73" s="9" t="s">
        <v>2675</v>
      </c>
      <c r="J73" s="9" t="s">
        <v>1798</v>
      </c>
      <c r="K73" s="9" t="s">
        <v>2645</v>
      </c>
      <c r="L73" s="9" t="s">
        <v>1800</v>
      </c>
    </row>
    <row r="74" customFormat="false" ht="15" hidden="false" customHeight="false" outlineLevel="0" collapsed="false">
      <c r="A74" s="6" t="s">
        <v>169</v>
      </c>
      <c r="B74" s="6" t="s">
        <v>2662</v>
      </c>
      <c r="C74" s="6" t="s">
        <v>2594</v>
      </c>
      <c r="D74" s="6" t="s">
        <v>2589</v>
      </c>
      <c r="E74" s="6" t="s">
        <v>2667</v>
      </c>
      <c r="F74" s="10" t="n">
        <v>1027000</v>
      </c>
      <c r="G74" s="10" t="n">
        <v>110000000000</v>
      </c>
      <c r="H74" s="14" t="n">
        <v>0.02</v>
      </c>
      <c r="I74" s="9" t="s">
        <v>2225</v>
      </c>
      <c r="J74" s="9" t="s">
        <v>2072</v>
      </c>
      <c r="K74" s="9" t="s">
        <v>2645</v>
      </c>
      <c r="L74" s="9" t="s">
        <v>1800</v>
      </c>
    </row>
    <row r="75" customFormat="false" ht="15" hidden="false" customHeight="false" outlineLevel="0" collapsed="false">
      <c r="A75" s="6" t="s">
        <v>169</v>
      </c>
      <c r="B75" s="6" t="s">
        <v>2662</v>
      </c>
      <c r="C75" s="6" t="s">
        <v>2594</v>
      </c>
      <c r="D75" s="6" t="s">
        <v>2589</v>
      </c>
      <c r="E75" s="9" t="s">
        <v>2676</v>
      </c>
      <c r="F75" s="10" t="n">
        <v>1556000</v>
      </c>
      <c r="G75" s="10" t="n">
        <v>100000000000</v>
      </c>
      <c r="H75" s="14" t="n">
        <v>0.03</v>
      </c>
      <c r="I75" s="9" t="s">
        <v>2591</v>
      </c>
      <c r="J75" s="9" t="s">
        <v>2673</v>
      </c>
      <c r="K75" s="9" t="s">
        <v>2645</v>
      </c>
      <c r="L75" s="9" t="s">
        <v>1800</v>
      </c>
    </row>
    <row r="76" customFormat="false" ht="15" hidden="false" customHeight="false" outlineLevel="0" collapsed="false">
      <c r="A76" s="6" t="s">
        <v>169</v>
      </c>
      <c r="B76" s="6" t="s">
        <v>2668</v>
      </c>
      <c r="C76" s="6" t="s">
        <v>2594</v>
      </c>
      <c r="D76" s="6" t="s">
        <v>2589</v>
      </c>
      <c r="E76" s="6" t="s">
        <v>2677</v>
      </c>
      <c r="F76" s="10" t="n">
        <v>1867000</v>
      </c>
      <c r="G76" s="10" t="n">
        <v>200000000000</v>
      </c>
      <c r="H76" s="14" t="n">
        <v>0.03</v>
      </c>
      <c r="I76" s="9" t="s">
        <v>2591</v>
      </c>
      <c r="J76" s="9" t="s">
        <v>2673</v>
      </c>
      <c r="K76" s="9" t="s">
        <v>2645</v>
      </c>
      <c r="L76" s="9" t="s">
        <v>1800</v>
      </c>
    </row>
    <row r="77" customFormat="false" ht="15" hidden="false" customHeight="false" outlineLevel="0" collapsed="false">
      <c r="A77" s="6" t="s">
        <v>169</v>
      </c>
      <c r="B77" s="6" t="s">
        <v>2662</v>
      </c>
      <c r="C77" s="6" t="s">
        <v>2594</v>
      </c>
      <c r="D77" s="6" t="s">
        <v>2589</v>
      </c>
      <c r="E77" s="6" t="s">
        <v>2663</v>
      </c>
      <c r="F77" s="10" t="n">
        <v>4876000</v>
      </c>
      <c r="G77" s="10" t="n">
        <v>190000000000</v>
      </c>
      <c r="H77" s="14" t="n">
        <v>0.08</v>
      </c>
      <c r="I77" s="9" t="s">
        <v>2664</v>
      </c>
      <c r="J77" s="6"/>
      <c r="K77" s="9" t="s">
        <v>2645</v>
      </c>
      <c r="L77" s="9" t="s">
        <v>2678</v>
      </c>
    </row>
    <row r="78" customFormat="false" ht="15" hidden="false" customHeight="false" outlineLevel="0" collapsed="false">
      <c r="A78" s="6" t="s">
        <v>169</v>
      </c>
      <c r="B78" s="6" t="s">
        <v>2662</v>
      </c>
      <c r="C78" s="6" t="s">
        <v>2594</v>
      </c>
      <c r="D78" s="6" t="s">
        <v>2589</v>
      </c>
      <c r="E78" s="6" t="s">
        <v>2626</v>
      </c>
      <c r="F78" s="10" t="n">
        <v>4705000</v>
      </c>
      <c r="G78" s="10" t="n">
        <v>200000000000</v>
      </c>
      <c r="H78" s="14" t="n">
        <v>0.08</v>
      </c>
      <c r="I78" s="9" t="s">
        <v>2664</v>
      </c>
      <c r="J78" s="6"/>
      <c r="K78" s="9" t="s">
        <v>2645</v>
      </c>
      <c r="L78" s="9" t="s">
        <v>2678</v>
      </c>
    </row>
    <row r="79" customFormat="false" ht="15" hidden="false" customHeight="false" outlineLevel="0" collapsed="false">
      <c r="A79" s="6" t="s">
        <v>169</v>
      </c>
      <c r="B79" s="6" t="s">
        <v>2662</v>
      </c>
      <c r="C79" s="6" t="s">
        <v>2594</v>
      </c>
      <c r="D79" s="6" t="s">
        <v>2589</v>
      </c>
      <c r="E79" s="6" t="s">
        <v>2665</v>
      </c>
      <c r="F79" s="10" t="n">
        <v>4222000</v>
      </c>
      <c r="G79" s="10" t="n">
        <v>285000000000</v>
      </c>
      <c r="H79" s="14" t="n">
        <v>0.07</v>
      </c>
      <c r="I79" s="9" t="s">
        <v>2378</v>
      </c>
      <c r="J79" s="9" t="s">
        <v>2666</v>
      </c>
      <c r="K79" s="9" t="s">
        <v>2645</v>
      </c>
      <c r="L79" s="9" t="s">
        <v>2678</v>
      </c>
    </row>
    <row r="80" customFormat="false" ht="15" hidden="false" customHeight="false" outlineLevel="0" collapsed="false">
      <c r="A80" s="6" t="s">
        <v>169</v>
      </c>
      <c r="B80" s="6" t="s">
        <v>2662</v>
      </c>
      <c r="C80" s="6" t="s">
        <v>2594</v>
      </c>
      <c r="D80" s="6" t="s">
        <v>2589</v>
      </c>
      <c r="E80" s="6" t="s">
        <v>2667</v>
      </c>
      <c r="F80" s="10" t="n">
        <v>1633000</v>
      </c>
      <c r="G80" s="10" t="n">
        <v>175000000000</v>
      </c>
      <c r="H80" s="14" t="n">
        <v>0.03</v>
      </c>
      <c r="I80" s="9" t="s">
        <v>2225</v>
      </c>
      <c r="J80" s="9" t="s">
        <v>2072</v>
      </c>
      <c r="K80" s="9" t="s">
        <v>2645</v>
      </c>
      <c r="L80" s="9" t="s">
        <v>2678</v>
      </c>
    </row>
    <row r="81" customFormat="false" ht="15" hidden="false" customHeight="false" outlineLevel="0" collapsed="false">
      <c r="A81" s="6" t="s">
        <v>169</v>
      </c>
      <c r="B81" s="6" t="s">
        <v>2668</v>
      </c>
      <c r="C81" s="6" t="s">
        <v>2594</v>
      </c>
      <c r="D81" s="6" t="s">
        <v>2589</v>
      </c>
      <c r="E81" s="6" t="s">
        <v>2626</v>
      </c>
      <c r="F81" s="10" t="n">
        <v>404000</v>
      </c>
      <c r="G81" s="10" t="n">
        <v>13000000000</v>
      </c>
      <c r="H81" s="14" t="n">
        <v>0.01</v>
      </c>
      <c r="I81" s="9" t="s">
        <v>2669</v>
      </c>
      <c r="J81" s="6"/>
      <c r="K81" s="9" t="s">
        <v>2645</v>
      </c>
      <c r="L81" s="9" t="s">
        <v>2678</v>
      </c>
    </row>
    <row r="82" customFormat="false" ht="15" hidden="false" customHeight="false" outlineLevel="0" collapsed="false">
      <c r="A82" s="6" t="s">
        <v>169</v>
      </c>
      <c r="B82" s="6" t="s">
        <v>2668</v>
      </c>
      <c r="C82" s="6" t="s">
        <v>2594</v>
      </c>
      <c r="D82" s="6" t="s">
        <v>2589</v>
      </c>
      <c r="E82" s="6" t="s">
        <v>2626</v>
      </c>
      <c r="F82" s="10" t="n">
        <v>801000</v>
      </c>
      <c r="G82" s="10" t="n">
        <v>25800000000</v>
      </c>
      <c r="H82" s="14" t="n">
        <v>0.01</v>
      </c>
      <c r="I82" s="9" t="s">
        <v>2669</v>
      </c>
      <c r="J82" s="6"/>
      <c r="K82" s="9" t="s">
        <v>2645</v>
      </c>
      <c r="L82" s="9" t="s">
        <v>2678</v>
      </c>
    </row>
    <row r="83" customFormat="false" ht="15" hidden="false" customHeight="false" outlineLevel="0" collapsed="false">
      <c r="A83" s="6" t="s">
        <v>169</v>
      </c>
      <c r="B83" s="6" t="s">
        <v>2662</v>
      </c>
      <c r="C83" s="6" t="s">
        <v>2594</v>
      </c>
      <c r="D83" s="6" t="s">
        <v>2589</v>
      </c>
      <c r="E83" s="6" t="s">
        <v>2626</v>
      </c>
      <c r="F83" s="10" t="n">
        <v>6588000</v>
      </c>
      <c r="G83" s="10" t="n">
        <v>220000000000</v>
      </c>
      <c r="H83" s="14" t="n">
        <v>0.11</v>
      </c>
      <c r="I83" s="9" t="s">
        <v>2670</v>
      </c>
      <c r="J83" s="6"/>
      <c r="K83" s="9" t="s">
        <v>2645</v>
      </c>
      <c r="L83" s="9" t="s">
        <v>2678</v>
      </c>
    </row>
    <row r="84" customFormat="false" ht="15" hidden="false" customHeight="false" outlineLevel="0" collapsed="false">
      <c r="A84" s="6" t="s">
        <v>169</v>
      </c>
      <c r="B84" s="6" t="s">
        <v>2668</v>
      </c>
      <c r="C84" s="6" t="s">
        <v>2594</v>
      </c>
      <c r="D84" s="6" t="s">
        <v>2589</v>
      </c>
      <c r="E84" s="6" t="s">
        <v>2626</v>
      </c>
      <c r="F84" s="10" t="n">
        <v>5690000</v>
      </c>
      <c r="G84" s="10" t="n">
        <v>190000000000</v>
      </c>
      <c r="H84" s="14" t="n">
        <v>0.1</v>
      </c>
      <c r="I84" s="9" t="s">
        <v>2671</v>
      </c>
      <c r="J84" s="6"/>
      <c r="K84" s="9" t="s">
        <v>2645</v>
      </c>
      <c r="L84" s="9" t="s">
        <v>2678</v>
      </c>
    </row>
    <row r="85" customFormat="false" ht="15" hidden="false" customHeight="false" outlineLevel="0" collapsed="false">
      <c r="A85" s="6" t="s">
        <v>169</v>
      </c>
      <c r="B85" s="6" t="s">
        <v>2662</v>
      </c>
      <c r="C85" s="6" t="s">
        <v>2594</v>
      </c>
      <c r="D85" s="6" t="s">
        <v>2589</v>
      </c>
      <c r="E85" s="6" t="s">
        <v>2665</v>
      </c>
      <c r="F85" s="10" t="n">
        <v>1482000</v>
      </c>
      <c r="G85" s="10" t="n">
        <v>100000000000</v>
      </c>
      <c r="H85" s="14" t="n">
        <v>0.03</v>
      </c>
      <c r="I85" s="9" t="s">
        <v>2378</v>
      </c>
      <c r="J85" s="9" t="s">
        <v>2666</v>
      </c>
      <c r="K85" s="9" t="s">
        <v>2645</v>
      </c>
      <c r="L85" s="9" t="s">
        <v>2678</v>
      </c>
    </row>
    <row r="86" customFormat="false" ht="15" hidden="false" customHeight="false" outlineLevel="0" collapsed="false">
      <c r="A86" s="6" t="s">
        <v>169</v>
      </c>
      <c r="B86" s="6" t="s">
        <v>2662</v>
      </c>
      <c r="C86" s="6" t="s">
        <v>2594</v>
      </c>
      <c r="D86" s="6" t="s">
        <v>2589</v>
      </c>
      <c r="E86" s="6" t="s">
        <v>2667</v>
      </c>
      <c r="F86" s="10" t="n">
        <v>1400000</v>
      </c>
      <c r="G86" s="10" t="n">
        <v>150000000000</v>
      </c>
      <c r="H86" s="14" t="n">
        <v>0.02</v>
      </c>
      <c r="I86" s="9" t="s">
        <v>2225</v>
      </c>
      <c r="J86" s="9" t="s">
        <v>2072</v>
      </c>
      <c r="K86" s="9" t="s">
        <v>2645</v>
      </c>
      <c r="L86" s="9" t="s">
        <v>2678</v>
      </c>
    </row>
    <row r="87" customFormat="false" ht="15" hidden="false" customHeight="false" outlineLevel="0" collapsed="false">
      <c r="A87" s="6" t="s">
        <v>169</v>
      </c>
      <c r="B87" s="6" t="s">
        <v>2662</v>
      </c>
      <c r="C87" s="6" t="s">
        <v>2594</v>
      </c>
      <c r="D87" s="6" t="s">
        <v>2589</v>
      </c>
      <c r="E87" s="6" t="s">
        <v>2665</v>
      </c>
      <c r="F87" s="10" t="n">
        <v>741000</v>
      </c>
      <c r="G87" s="10" t="n">
        <v>50000000000</v>
      </c>
      <c r="H87" s="14" t="n">
        <v>0.01</v>
      </c>
      <c r="I87" s="9" t="s">
        <v>2378</v>
      </c>
      <c r="J87" s="9" t="s">
        <v>2666</v>
      </c>
      <c r="K87" s="9" t="s">
        <v>2645</v>
      </c>
      <c r="L87" s="9" t="s">
        <v>2678</v>
      </c>
    </row>
    <row r="88" customFormat="false" ht="15" hidden="false" customHeight="false" outlineLevel="0" collapsed="false">
      <c r="A88" s="6" t="s">
        <v>169</v>
      </c>
      <c r="B88" s="6" t="s">
        <v>2662</v>
      </c>
      <c r="C88" s="6" t="s">
        <v>2594</v>
      </c>
      <c r="D88" s="6" t="s">
        <v>2589</v>
      </c>
      <c r="E88" s="6" t="s">
        <v>2672</v>
      </c>
      <c r="F88" s="10" t="n">
        <v>2567000</v>
      </c>
      <c r="G88" s="10" t="n">
        <v>275000000000</v>
      </c>
      <c r="H88" s="14" t="n">
        <v>0.04</v>
      </c>
      <c r="I88" s="9" t="s">
        <v>2673</v>
      </c>
      <c r="J88" s="9" t="s">
        <v>2679</v>
      </c>
      <c r="K88" s="9" t="s">
        <v>2645</v>
      </c>
      <c r="L88" s="9" t="s">
        <v>2678</v>
      </c>
    </row>
    <row r="89" customFormat="false" ht="15" hidden="false" customHeight="false" outlineLevel="0" collapsed="false">
      <c r="A89" s="6" t="s">
        <v>169</v>
      </c>
      <c r="B89" s="6" t="s">
        <v>2668</v>
      </c>
      <c r="C89" s="6" t="s">
        <v>2594</v>
      </c>
      <c r="D89" s="6" t="s">
        <v>2589</v>
      </c>
      <c r="E89" s="6" t="s">
        <v>2674</v>
      </c>
      <c r="F89" s="10" t="n">
        <v>644000</v>
      </c>
      <c r="G89" s="10" t="n">
        <v>69000000000</v>
      </c>
      <c r="H89" s="14" t="n">
        <v>0.01</v>
      </c>
      <c r="I89" s="9" t="s">
        <v>2675</v>
      </c>
      <c r="J89" s="9" t="s">
        <v>1798</v>
      </c>
      <c r="K89" s="9" t="s">
        <v>2645</v>
      </c>
      <c r="L89" s="9" t="s">
        <v>2678</v>
      </c>
    </row>
    <row r="90" customFormat="false" ht="15" hidden="false" customHeight="false" outlineLevel="0" collapsed="false">
      <c r="A90" s="6" t="s">
        <v>169</v>
      </c>
      <c r="B90" s="6" t="s">
        <v>2662</v>
      </c>
      <c r="C90" s="6" t="s">
        <v>2594</v>
      </c>
      <c r="D90" s="6" t="s">
        <v>2589</v>
      </c>
      <c r="E90" s="6" t="s">
        <v>2667</v>
      </c>
      <c r="F90" s="10" t="n">
        <v>1027000</v>
      </c>
      <c r="G90" s="10" t="n">
        <v>110000000000</v>
      </c>
      <c r="H90" s="14" t="n">
        <v>0.02</v>
      </c>
      <c r="I90" s="9" t="s">
        <v>2225</v>
      </c>
      <c r="J90" s="9" t="s">
        <v>2072</v>
      </c>
      <c r="K90" s="9" t="s">
        <v>2645</v>
      </c>
      <c r="L90" s="9" t="s">
        <v>2678</v>
      </c>
    </row>
    <row r="91" customFormat="false" ht="15" hidden="false" customHeight="false" outlineLevel="0" collapsed="false">
      <c r="A91" s="6" t="s">
        <v>169</v>
      </c>
      <c r="B91" s="6" t="s">
        <v>2662</v>
      </c>
      <c r="C91" s="6" t="s">
        <v>2594</v>
      </c>
      <c r="D91" s="6" t="s">
        <v>2589</v>
      </c>
      <c r="E91" s="9" t="s">
        <v>2676</v>
      </c>
      <c r="F91" s="10" t="n">
        <v>933000</v>
      </c>
      <c r="G91" s="10" t="n">
        <v>100000000000</v>
      </c>
      <c r="H91" s="14" t="n">
        <v>0.02</v>
      </c>
      <c r="I91" s="9" t="s">
        <v>2673</v>
      </c>
      <c r="J91" s="9" t="s">
        <v>2679</v>
      </c>
      <c r="K91" s="9" t="s">
        <v>2645</v>
      </c>
      <c r="L91" s="9" t="s">
        <v>2678</v>
      </c>
    </row>
    <row r="92" customFormat="false" ht="15" hidden="false" customHeight="false" outlineLevel="0" collapsed="false">
      <c r="A92" s="6" t="s">
        <v>169</v>
      </c>
      <c r="B92" s="6" t="s">
        <v>2668</v>
      </c>
      <c r="C92" s="6" t="s">
        <v>2594</v>
      </c>
      <c r="D92" s="6" t="s">
        <v>2589</v>
      </c>
      <c r="E92" s="6" t="s">
        <v>2677</v>
      </c>
      <c r="F92" s="10" t="n">
        <v>1867000</v>
      </c>
      <c r="G92" s="10" t="n">
        <v>200000000000</v>
      </c>
      <c r="H92" s="14" t="n">
        <v>0.03</v>
      </c>
      <c r="I92" s="9" t="s">
        <v>2673</v>
      </c>
      <c r="J92" s="9" t="s">
        <v>2679</v>
      </c>
      <c r="K92" s="9" t="s">
        <v>2645</v>
      </c>
      <c r="L92" s="9" t="s">
        <v>2678</v>
      </c>
    </row>
    <row r="93" customFormat="false" ht="15" hidden="false" customHeight="false" outlineLevel="0" collapsed="false">
      <c r="A93" s="6" t="s">
        <v>243</v>
      </c>
      <c r="B93" s="6" t="s">
        <v>2680</v>
      </c>
      <c r="C93" s="6" t="s">
        <v>2604</v>
      </c>
      <c r="D93" s="6" t="s">
        <v>2589</v>
      </c>
      <c r="E93" s="6" t="s">
        <v>2681</v>
      </c>
      <c r="F93" s="10" t="n">
        <v>45000</v>
      </c>
      <c r="G93" s="10" t="n">
        <v>15000000000</v>
      </c>
      <c r="H93" s="14" t="n">
        <v>0.6</v>
      </c>
      <c r="I93" s="9" t="s">
        <v>2682</v>
      </c>
      <c r="J93" s="6"/>
      <c r="K93" s="9" t="s">
        <v>2645</v>
      </c>
      <c r="L93" s="9" t="s">
        <v>1875</v>
      </c>
    </row>
    <row r="94" customFormat="false" ht="15" hidden="false" customHeight="false" outlineLevel="0" collapsed="false">
      <c r="A94" s="6" t="s">
        <v>243</v>
      </c>
      <c r="B94" s="6" t="s">
        <v>2680</v>
      </c>
      <c r="C94" s="6" t="s">
        <v>2604</v>
      </c>
      <c r="D94" s="6" t="s">
        <v>2589</v>
      </c>
      <c r="E94" s="6" t="s">
        <v>2626</v>
      </c>
      <c r="F94" s="10" t="n">
        <v>38000</v>
      </c>
      <c r="G94" s="10" t="n">
        <v>5000000000</v>
      </c>
      <c r="H94" s="14" t="n">
        <v>0.5</v>
      </c>
      <c r="I94" s="9" t="s">
        <v>2682</v>
      </c>
      <c r="J94" s="6"/>
      <c r="K94" s="9" t="s">
        <v>2645</v>
      </c>
      <c r="L94" s="9" t="s">
        <v>1875</v>
      </c>
    </row>
    <row r="95" customFormat="false" ht="15" hidden="false" customHeight="false" outlineLevel="0" collapsed="false">
      <c r="A95" s="6" t="s">
        <v>243</v>
      </c>
      <c r="B95" s="6" t="s">
        <v>2680</v>
      </c>
      <c r="C95" s="6" t="s">
        <v>2604</v>
      </c>
      <c r="D95" s="6" t="s">
        <v>2589</v>
      </c>
      <c r="E95" s="6" t="s">
        <v>2681</v>
      </c>
      <c r="F95" s="10" t="n">
        <v>80000</v>
      </c>
      <c r="G95" s="10" t="n">
        <v>40000000000</v>
      </c>
      <c r="H95" s="14" t="n">
        <v>1.06</v>
      </c>
      <c r="I95" s="9" t="s">
        <v>2500</v>
      </c>
      <c r="J95" s="6"/>
      <c r="K95" s="9" t="s">
        <v>2645</v>
      </c>
      <c r="L95" s="9" t="s">
        <v>1875</v>
      </c>
    </row>
    <row r="96" customFormat="false" ht="15" hidden="false" customHeight="false" outlineLevel="0" collapsed="false">
      <c r="A96" s="6" t="s">
        <v>243</v>
      </c>
      <c r="B96" s="6" t="s">
        <v>2680</v>
      </c>
      <c r="C96" s="6" t="s">
        <v>2604</v>
      </c>
      <c r="D96" s="6" t="s">
        <v>2589</v>
      </c>
      <c r="E96" s="6" t="s">
        <v>2681</v>
      </c>
      <c r="F96" s="10" t="n">
        <v>20000</v>
      </c>
      <c r="G96" s="10" t="n">
        <v>10000000000</v>
      </c>
      <c r="H96" s="14" t="n">
        <v>0.27</v>
      </c>
      <c r="I96" s="9" t="s">
        <v>2500</v>
      </c>
      <c r="J96" s="6"/>
      <c r="K96" s="9" t="s">
        <v>2645</v>
      </c>
      <c r="L96" s="9" t="s">
        <v>1875</v>
      </c>
    </row>
    <row r="97" customFormat="false" ht="15" hidden="false" customHeight="false" outlineLevel="0" collapsed="false">
      <c r="A97" s="6" t="s">
        <v>243</v>
      </c>
      <c r="B97" s="6" t="s">
        <v>2680</v>
      </c>
      <c r="C97" s="6" t="s">
        <v>2604</v>
      </c>
      <c r="D97" s="6" t="s">
        <v>2589</v>
      </c>
      <c r="E97" s="6" t="s">
        <v>2681</v>
      </c>
      <c r="F97" s="10" t="n">
        <v>50000</v>
      </c>
      <c r="G97" s="10" t="n">
        <v>25000000000</v>
      </c>
      <c r="H97" s="14" t="n">
        <v>0.66</v>
      </c>
      <c r="I97" s="9" t="s">
        <v>2500</v>
      </c>
      <c r="J97" s="6"/>
      <c r="K97" s="9" t="s">
        <v>2645</v>
      </c>
      <c r="L97" s="9" t="s">
        <v>1875</v>
      </c>
    </row>
    <row r="98" customFormat="false" ht="15" hidden="false" customHeight="false" outlineLevel="0" collapsed="false">
      <c r="A98" s="6" t="s">
        <v>243</v>
      </c>
      <c r="B98" s="6" t="s">
        <v>2683</v>
      </c>
      <c r="C98" s="6" t="s">
        <v>2594</v>
      </c>
      <c r="D98" s="6" t="s">
        <v>2589</v>
      </c>
      <c r="E98" s="9" t="s">
        <v>2684</v>
      </c>
      <c r="F98" s="10" t="n">
        <v>51458</v>
      </c>
      <c r="G98" s="10" t="n">
        <v>30000000000</v>
      </c>
      <c r="H98" s="14" t="n">
        <v>0.68</v>
      </c>
      <c r="I98" s="9" t="s">
        <v>2492</v>
      </c>
      <c r="J98" s="6"/>
      <c r="K98" s="9" t="s">
        <v>2645</v>
      </c>
      <c r="L98" s="9" t="s">
        <v>1875</v>
      </c>
    </row>
    <row r="99" customFormat="false" ht="15" hidden="false" customHeight="false" outlineLevel="0" collapsed="false">
      <c r="A99" s="6" t="s">
        <v>243</v>
      </c>
      <c r="B99" s="6" t="s">
        <v>2683</v>
      </c>
      <c r="C99" s="6" t="s">
        <v>2594</v>
      </c>
      <c r="D99" s="6" t="s">
        <v>2589</v>
      </c>
      <c r="E99" s="6" t="s">
        <v>2665</v>
      </c>
      <c r="F99" s="10" t="n">
        <v>125000</v>
      </c>
      <c r="G99" s="10" t="n">
        <v>50000000000</v>
      </c>
      <c r="H99" s="14" t="n">
        <v>1.66</v>
      </c>
      <c r="I99" s="9" t="s">
        <v>2492</v>
      </c>
      <c r="J99" s="6"/>
      <c r="K99" s="9" t="s">
        <v>2645</v>
      </c>
      <c r="L99" s="9" t="s">
        <v>1875</v>
      </c>
    </row>
    <row r="100" customFormat="false" ht="15" hidden="false" customHeight="false" outlineLevel="0" collapsed="false">
      <c r="A100" s="6" t="s">
        <v>243</v>
      </c>
      <c r="B100" s="6" t="s">
        <v>2680</v>
      </c>
      <c r="C100" s="6" t="s">
        <v>2604</v>
      </c>
      <c r="D100" s="6" t="s">
        <v>2589</v>
      </c>
      <c r="E100" s="6" t="s">
        <v>2681</v>
      </c>
      <c r="F100" s="10" t="n">
        <v>45000</v>
      </c>
      <c r="G100" s="10" t="n">
        <v>15000000000</v>
      </c>
      <c r="H100" s="14" t="n">
        <v>0.6</v>
      </c>
      <c r="I100" s="9" t="s">
        <v>2682</v>
      </c>
      <c r="J100" s="6"/>
      <c r="K100" s="9" t="s">
        <v>2645</v>
      </c>
      <c r="L100" s="9" t="s">
        <v>2685</v>
      </c>
    </row>
    <row r="101" customFormat="false" ht="15" hidden="false" customHeight="false" outlineLevel="0" collapsed="false">
      <c r="A101" s="6" t="s">
        <v>243</v>
      </c>
      <c r="B101" s="6" t="s">
        <v>2680</v>
      </c>
      <c r="C101" s="6" t="s">
        <v>2604</v>
      </c>
      <c r="D101" s="6" t="s">
        <v>2589</v>
      </c>
      <c r="E101" s="6" t="s">
        <v>2626</v>
      </c>
      <c r="F101" s="10" t="n">
        <v>38000</v>
      </c>
      <c r="G101" s="10" t="n">
        <v>5000000000</v>
      </c>
      <c r="H101" s="14" t="n">
        <v>0.5</v>
      </c>
      <c r="I101" s="9" t="s">
        <v>2682</v>
      </c>
      <c r="J101" s="6"/>
      <c r="K101" s="9" t="s">
        <v>2645</v>
      </c>
      <c r="L101" s="9" t="s">
        <v>2685</v>
      </c>
    </row>
    <row r="102" customFormat="false" ht="15" hidden="false" customHeight="false" outlineLevel="0" collapsed="false">
      <c r="A102" s="6" t="s">
        <v>243</v>
      </c>
      <c r="B102" s="6" t="s">
        <v>2680</v>
      </c>
      <c r="C102" s="6" t="s">
        <v>2604</v>
      </c>
      <c r="D102" s="6" t="s">
        <v>2589</v>
      </c>
      <c r="E102" s="6" t="s">
        <v>2681</v>
      </c>
      <c r="F102" s="10" t="n">
        <v>80000</v>
      </c>
      <c r="G102" s="10" t="n">
        <v>40000000000</v>
      </c>
      <c r="H102" s="14" t="n">
        <v>1.06</v>
      </c>
      <c r="I102" s="9" t="s">
        <v>2500</v>
      </c>
      <c r="J102" s="6"/>
      <c r="K102" s="9" t="s">
        <v>2645</v>
      </c>
      <c r="L102" s="9" t="s">
        <v>2685</v>
      </c>
    </row>
    <row r="103" customFormat="false" ht="15" hidden="false" customHeight="false" outlineLevel="0" collapsed="false">
      <c r="A103" s="6" t="s">
        <v>243</v>
      </c>
      <c r="B103" s="6" t="s">
        <v>2680</v>
      </c>
      <c r="C103" s="6" t="s">
        <v>2604</v>
      </c>
      <c r="D103" s="6" t="s">
        <v>2589</v>
      </c>
      <c r="E103" s="6" t="s">
        <v>2681</v>
      </c>
      <c r="F103" s="10" t="n">
        <v>20000</v>
      </c>
      <c r="G103" s="10" t="n">
        <v>10000000000</v>
      </c>
      <c r="H103" s="14" t="n">
        <v>0.27</v>
      </c>
      <c r="I103" s="9" t="s">
        <v>2500</v>
      </c>
      <c r="J103" s="6"/>
      <c r="K103" s="9" t="s">
        <v>2645</v>
      </c>
      <c r="L103" s="9" t="s">
        <v>2685</v>
      </c>
    </row>
    <row r="104" customFormat="false" ht="15" hidden="false" customHeight="false" outlineLevel="0" collapsed="false">
      <c r="A104" s="6" t="s">
        <v>243</v>
      </c>
      <c r="B104" s="6" t="s">
        <v>2680</v>
      </c>
      <c r="C104" s="6" t="s">
        <v>2604</v>
      </c>
      <c r="D104" s="6" t="s">
        <v>2589</v>
      </c>
      <c r="E104" s="6" t="s">
        <v>2681</v>
      </c>
      <c r="F104" s="10" t="n">
        <v>50000</v>
      </c>
      <c r="G104" s="10" t="n">
        <v>25000000000</v>
      </c>
      <c r="H104" s="14" t="n">
        <v>0.66</v>
      </c>
      <c r="I104" s="9" t="s">
        <v>2500</v>
      </c>
      <c r="J104" s="6"/>
      <c r="K104" s="9" t="s">
        <v>2645</v>
      </c>
      <c r="L104" s="9" t="s">
        <v>2685</v>
      </c>
    </row>
    <row r="105" customFormat="false" ht="15" hidden="false" customHeight="false" outlineLevel="0" collapsed="false">
      <c r="A105" s="6" t="s">
        <v>243</v>
      </c>
      <c r="B105" s="6" t="s">
        <v>2686</v>
      </c>
      <c r="C105" s="6" t="s">
        <v>2594</v>
      </c>
      <c r="D105" s="6" t="s">
        <v>2589</v>
      </c>
      <c r="E105" s="9" t="s">
        <v>2684</v>
      </c>
      <c r="F105" s="10" t="n">
        <v>54005</v>
      </c>
      <c r="G105" s="10" t="n">
        <v>30000000000</v>
      </c>
      <c r="H105" s="14" t="n">
        <v>0.72</v>
      </c>
      <c r="I105" s="9" t="s">
        <v>2687</v>
      </c>
      <c r="J105" s="6"/>
      <c r="K105" s="9" t="s">
        <v>2645</v>
      </c>
      <c r="L105" s="9" t="s">
        <v>2685</v>
      </c>
    </row>
    <row r="106" customFormat="false" ht="15" hidden="false" customHeight="false" outlineLevel="0" collapsed="false">
      <c r="A106" s="6" t="s">
        <v>243</v>
      </c>
      <c r="B106" s="6" t="s">
        <v>2686</v>
      </c>
      <c r="C106" s="6" t="s">
        <v>2594</v>
      </c>
      <c r="D106" s="6" t="s">
        <v>2589</v>
      </c>
      <c r="E106" s="6" t="s">
        <v>2665</v>
      </c>
      <c r="F106" s="10" t="n">
        <v>96500</v>
      </c>
      <c r="G106" s="10" t="n">
        <v>38600000000</v>
      </c>
      <c r="H106" s="14" t="n">
        <v>1.28</v>
      </c>
      <c r="I106" s="9" t="s">
        <v>2687</v>
      </c>
      <c r="J106" s="6"/>
      <c r="K106" s="9" t="s">
        <v>2645</v>
      </c>
      <c r="L106" s="9" t="s">
        <v>2685</v>
      </c>
    </row>
    <row r="107" customFormat="false" ht="15" hidden="false" customHeight="false" outlineLevel="0" collapsed="false">
      <c r="A107" s="6" t="s">
        <v>243</v>
      </c>
      <c r="B107" s="6" t="s">
        <v>2688</v>
      </c>
      <c r="C107" s="6" t="s">
        <v>2594</v>
      </c>
      <c r="D107" s="6" t="s">
        <v>2589</v>
      </c>
      <c r="E107" s="6" t="s">
        <v>2665</v>
      </c>
      <c r="F107" s="10" t="n">
        <v>28500</v>
      </c>
      <c r="G107" s="10" t="n">
        <v>11400000000</v>
      </c>
      <c r="H107" s="14" t="n">
        <v>0.38</v>
      </c>
      <c r="I107" s="9" t="s">
        <v>2687</v>
      </c>
      <c r="J107" s="6"/>
      <c r="K107" s="9" t="s">
        <v>2645</v>
      </c>
      <c r="L107" s="9" t="s">
        <v>2685</v>
      </c>
    </row>
    <row r="108" customFormat="false" ht="15" hidden="false" customHeight="false" outlineLevel="0" collapsed="false">
      <c r="A108" s="6" t="s">
        <v>283</v>
      </c>
      <c r="B108" s="6" t="s">
        <v>2689</v>
      </c>
      <c r="C108" s="6" t="s">
        <v>2594</v>
      </c>
      <c r="D108" s="6" t="s">
        <v>2589</v>
      </c>
      <c r="E108" s="6" t="s">
        <v>2674</v>
      </c>
      <c r="F108" s="10" t="n">
        <v>209300</v>
      </c>
      <c r="G108" s="10" t="n">
        <v>23000000000</v>
      </c>
      <c r="H108" s="14" t="n">
        <v>0.89</v>
      </c>
      <c r="I108" s="9" t="s">
        <v>2690</v>
      </c>
      <c r="J108" s="9" t="s">
        <v>2337</v>
      </c>
      <c r="K108" s="9" t="s">
        <v>2645</v>
      </c>
      <c r="L108" s="9" t="s">
        <v>1974</v>
      </c>
    </row>
    <row r="109" customFormat="false" ht="15" hidden="false" customHeight="false" outlineLevel="0" collapsed="false">
      <c r="A109" s="6" t="s">
        <v>283</v>
      </c>
      <c r="B109" s="6" t="s">
        <v>2691</v>
      </c>
      <c r="C109" s="6" t="s">
        <v>2594</v>
      </c>
      <c r="D109" s="6" t="s">
        <v>2589</v>
      </c>
      <c r="E109" s="6" t="s">
        <v>2674</v>
      </c>
      <c r="F109" s="10" t="n">
        <v>128310</v>
      </c>
      <c r="G109" s="10" t="n">
        <v>14100000000</v>
      </c>
      <c r="H109" s="14" t="n">
        <v>0.55</v>
      </c>
      <c r="I109" s="9" t="s">
        <v>2690</v>
      </c>
      <c r="J109" s="9" t="s">
        <v>2337</v>
      </c>
      <c r="K109" s="9" t="s">
        <v>2645</v>
      </c>
      <c r="L109" s="9" t="s">
        <v>1974</v>
      </c>
    </row>
    <row r="110" customFormat="false" ht="15" hidden="false" customHeight="false" outlineLevel="0" collapsed="false">
      <c r="A110" s="6" t="s">
        <v>283</v>
      </c>
      <c r="B110" s="6" t="s">
        <v>2689</v>
      </c>
      <c r="C110" s="6" t="s">
        <v>2594</v>
      </c>
      <c r="D110" s="6" t="s">
        <v>2589</v>
      </c>
      <c r="E110" s="6" t="s">
        <v>2674</v>
      </c>
      <c r="F110" s="10" t="n">
        <v>209300</v>
      </c>
      <c r="G110" s="10" t="n">
        <v>23000000000</v>
      </c>
      <c r="H110" s="14" t="n">
        <v>0.89</v>
      </c>
      <c r="I110" s="9" t="s">
        <v>2331</v>
      </c>
      <c r="J110" s="9" t="s">
        <v>1972</v>
      </c>
      <c r="K110" s="9" t="s">
        <v>2645</v>
      </c>
      <c r="L110" s="9" t="s">
        <v>2692</v>
      </c>
    </row>
    <row r="111" customFormat="false" ht="15" hidden="false" customHeight="false" outlineLevel="0" collapsed="false">
      <c r="A111" s="6" t="s">
        <v>283</v>
      </c>
      <c r="B111" s="6" t="s">
        <v>2691</v>
      </c>
      <c r="C111" s="6" t="s">
        <v>2594</v>
      </c>
      <c r="D111" s="6" t="s">
        <v>2589</v>
      </c>
      <c r="E111" s="6" t="s">
        <v>2674</v>
      </c>
      <c r="F111" s="10" t="n">
        <v>128310</v>
      </c>
      <c r="G111" s="10" t="n">
        <v>14100000000</v>
      </c>
      <c r="H111" s="14" t="n">
        <v>0.55</v>
      </c>
      <c r="I111" s="9" t="s">
        <v>2331</v>
      </c>
      <c r="J111" s="9" t="s">
        <v>1972</v>
      </c>
      <c r="K111" s="9" t="s">
        <v>2645</v>
      </c>
      <c r="L111" s="9" t="s">
        <v>2692</v>
      </c>
    </row>
    <row r="112" customFormat="false" ht="15" hidden="false" customHeight="false" outlineLevel="0" collapsed="false">
      <c r="A112" s="9" t="s">
        <v>106</v>
      </c>
      <c r="B112" s="6" t="s">
        <v>2693</v>
      </c>
      <c r="C112" s="6" t="s">
        <v>2604</v>
      </c>
      <c r="D112" s="6" t="s">
        <v>2589</v>
      </c>
      <c r="E112" s="6" t="s">
        <v>2665</v>
      </c>
      <c r="F112" s="10" t="n">
        <v>1200000</v>
      </c>
      <c r="G112" s="10" t="n">
        <v>3000</v>
      </c>
      <c r="H112" s="14" t="n">
        <v>4.41</v>
      </c>
      <c r="I112" s="9" t="s">
        <v>2694</v>
      </c>
      <c r="J112" s="9" t="s">
        <v>1979</v>
      </c>
      <c r="K112" s="9" t="s">
        <v>2645</v>
      </c>
      <c r="L112" s="9" t="s">
        <v>1980</v>
      </c>
    </row>
    <row r="113" customFormat="false" ht="15" hidden="false" customHeight="false" outlineLevel="0" collapsed="false">
      <c r="A113" s="9" t="s">
        <v>106</v>
      </c>
      <c r="B113" s="6" t="s">
        <v>2693</v>
      </c>
      <c r="C113" s="6" t="s">
        <v>2604</v>
      </c>
      <c r="D113" s="6" t="s">
        <v>2589</v>
      </c>
      <c r="E113" s="6" t="s">
        <v>2665</v>
      </c>
      <c r="F113" s="10" t="n">
        <v>1200000</v>
      </c>
      <c r="G113" s="10" t="n">
        <v>3000</v>
      </c>
      <c r="H113" s="14" t="n">
        <v>4.41</v>
      </c>
      <c r="I113" s="9" t="s">
        <v>2694</v>
      </c>
      <c r="J113" s="9" t="s">
        <v>1979</v>
      </c>
      <c r="K113" s="9" t="s">
        <v>2645</v>
      </c>
      <c r="L113" s="9" t="s">
        <v>2695</v>
      </c>
    </row>
    <row r="114" customFormat="false" ht="15" hidden="false" customHeight="false" outlineLevel="0" collapsed="false">
      <c r="A114" s="9" t="s">
        <v>106</v>
      </c>
      <c r="B114" s="6" t="s">
        <v>2693</v>
      </c>
      <c r="C114" s="6" t="s">
        <v>2604</v>
      </c>
      <c r="D114" s="6" t="s">
        <v>2589</v>
      </c>
      <c r="E114" s="6" t="s">
        <v>2665</v>
      </c>
      <c r="F114" s="10" t="n">
        <v>1800000</v>
      </c>
      <c r="G114" s="10" t="n">
        <v>5000</v>
      </c>
      <c r="H114" s="14" t="n">
        <v>6.62</v>
      </c>
      <c r="I114" s="9" t="s">
        <v>2389</v>
      </c>
      <c r="J114" s="9" t="s">
        <v>1979</v>
      </c>
      <c r="K114" s="9" t="s">
        <v>2645</v>
      </c>
      <c r="L114" s="9" t="s">
        <v>2695</v>
      </c>
    </row>
    <row r="115" customFormat="false" ht="15" hidden="false" customHeight="false" outlineLevel="0" collapsed="false">
      <c r="A115" s="9" t="s">
        <v>399</v>
      </c>
      <c r="B115" s="6" t="s">
        <v>2696</v>
      </c>
      <c r="C115" s="6" t="s">
        <v>2594</v>
      </c>
      <c r="D115" s="6" t="s">
        <v>2589</v>
      </c>
      <c r="E115" s="6" t="s">
        <v>2672</v>
      </c>
      <c r="F115" s="10" t="n">
        <v>700000</v>
      </c>
      <c r="G115" s="10" t="n">
        <v>2099000000</v>
      </c>
      <c r="H115" s="14" t="n">
        <v>0.35</v>
      </c>
      <c r="I115" s="9" t="s">
        <v>2221</v>
      </c>
      <c r="J115" s="6"/>
      <c r="K115" s="9" t="s">
        <v>2645</v>
      </c>
      <c r="L115" s="9" t="s">
        <v>2034</v>
      </c>
    </row>
    <row r="116" customFormat="false" ht="15" hidden="false" customHeight="false" outlineLevel="0" collapsed="false">
      <c r="A116" s="9" t="s">
        <v>399</v>
      </c>
      <c r="B116" s="6" t="s">
        <v>2696</v>
      </c>
      <c r="C116" s="6" t="s">
        <v>2594</v>
      </c>
      <c r="D116" s="6" t="s">
        <v>2589</v>
      </c>
      <c r="E116" s="6" t="s">
        <v>2672</v>
      </c>
      <c r="F116" s="10" t="n">
        <v>699999</v>
      </c>
      <c r="G116" s="10" t="n">
        <v>2769000000</v>
      </c>
      <c r="H116" s="14" t="n">
        <v>0.35</v>
      </c>
      <c r="I116" s="9" t="s">
        <v>2221</v>
      </c>
      <c r="J116" s="6"/>
      <c r="K116" s="9" t="s">
        <v>2645</v>
      </c>
      <c r="L116" s="9" t="s">
        <v>2697</v>
      </c>
    </row>
    <row r="117" customFormat="false" ht="15" hidden="false" customHeight="false" outlineLevel="0" collapsed="false">
      <c r="A117" s="6" t="s">
        <v>57</v>
      </c>
      <c r="B117" s="6" t="s">
        <v>2698</v>
      </c>
      <c r="C117" s="6" t="s">
        <v>2604</v>
      </c>
      <c r="D117" s="6" t="s">
        <v>22</v>
      </c>
      <c r="E117" s="6" t="s">
        <v>2699</v>
      </c>
      <c r="F117" s="10" t="n">
        <v>90000</v>
      </c>
      <c r="G117" s="10" t="n">
        <v>3000000000</v>
      </c>
      <c r="H117" s="14" t="n">
        <v>0.8</v>
      </c>
      <c r="I117" s="9" t="s">
        <v>2700</v>
      </c>
      <c r="J117" s="6"/>
      <c r="K117" s="9" t="s">
        <v>2645</v>
      </c>
      <c r="L117" s="9" t="s">
        <v>2003</v>
      </c>
    </row>
    <row r="118" customFormat="false" ht="15" hidden="false" customHeight="false" outlineLevel="0" collapsed="false">
      <c r="A118" s="6" t="s">
        <v>57</v>
      </c>
      <c r="B118" s="6" t="s">
        <v>2698</v>
      </c>
      <c r="C118" s="6" t="s">
        <v>2604</v>
      </c>
      <c r="D118" s="6" t="s">
        <v>22</v>
      </c>
      <c r="E118" s="6" t="s">
        <v>2699</v>
      </c>
      <c r="F118" s="10" t="n">
        <v>15000</v>
      </c>
      <c r="G118" s="10" t="n">
        <v>500000000</v>
      </c>
      <c r="H118" s="14" t="n">
        <v>0.13</v>
      </c>
      <c r="I118" s="9" t="s">
        <v>2563</v>
      </c>
      <c r="J118" s="6"/>
      <c r="K118" s="9" t="s">
        <v>2645</v>
      </c>
      <c r="L118" s="9" t="s">
        <v>2003</v>
      </c>
    </row>
    <row r="119" customFormat="false" ht="15" hidden="false" customHeight="false" outlineLevel="0" collapsed="false">
      <c r="A119" s="6" t="s">
        <v>57</v>
      </c>
      <c r="B119" s="6" t="s">
        <v>2701</v>
      </c>
      <c r="C119" s="6" t="s">
        <v>2594</v>
      </c>
      <c r="D119" s="6" t="s">
        <v>22</v>
      </c>
      <c r="E119" s="6" t="s">
        <v>2699</v>
      </c>
      <c r="F119" s="10" t="n">
        <v>19291</v>
      </c>
      <c r="G119" s="10"/>
      <c r="H119" s="14" t="n">
        <v>0.17</v>
      </c>
      <c r="I119" s="9" t="s">
        <v>2702</v>
      </c>
      <c r="J119" s="6"/>
      <c r="K119" s="6"/>
      <c r="L119" s="9" t="s">
        <v>2003</v>
      </c>
    </row>
    <row r="120" customFormat="false" ht="15" hidden="false" customHeight="false" outlineLevel="0" collapsed="false">
      <c r="A120" s="6" t="s">
        <v>57</v>
      </c>
      <c r="B120" s="6" t="s">
        <v>2701</v>
      </c>
      <c r="C120" s="6" t="s">
        <v>2594</v>
      </c>
      <c r="D120" s="6" t="s">
        <v>22</v>
      </c>
      <c r="E120" s="6" t="s">
        <v>2699</v>
      </c>
      <c r="F120" s="10" t="n">
        <v>67519</v>
      </c>
      <c r="G120" s="10"/>
      <c r="H120" s="14" t="n">
        <v>0.59</v>
      </c>
      <c r="I120" s="9" t="s">
        <v>2703</v>
      </c>
      <c r="J120" s="6"/>
      <c r="K120" s="6"/>
      <c r="L120" s="9" t="s">
        <v>2003</v>
      </c>
    </row>
    <row r="121" customFormat="false" ht="15" hidden="false" customHeight="false" outlineLevel="0" collapsed="false">
      <c r="A121" s="6" t="s">
        <v>57</v>
      </c>
      <c r="B121" s="6" t="s">
        <v>2701</v>
      </c>
      <c r="C121" s="6" t="s">
        <v>2594</v>
      </c>
      <c r="D121" s="6" t="s">
        <v>22</v>
      </c>
      <c r="E121" s="6" t="s">
        <v>2699</v>
      </c>
      <c r="F121" s="10" t="n">
        <v>74270</v>
      </c>
      <c r="G121" s="10" t="n">
        <v>1000000000</v>
      </c>
      <c r="H121" s="14" t="n">
        <v>0.65</v>
      </c>
      <c r="I121" s="9" t="s">
        <v>2703</v>
      </c>
      <c r="J121" s="6"/>
      <c r="K121" s="9" t="s">
        <v>2645</v>
      </c>
      <c r="L121" s="9" t="s">
        <v>2003</v>
      </c>
    </row>
    <row r="122" customFormat="false" ht="15" hidden="false" customHeight="false" outlineLevel="0" collapsed="false">
      <c r="A122" s="6" t="s">
        <v>57</v>
      </c>
      <c r="B122" s="6" t="s">
        <v>2701</v>
      </c>
      <c r="C122" s="6" t="s">
        <v>2594</v>
      </c>
      <c r="D122" s="6" t="s">
        <v>2704</v>
      </c>
      <c r="E122" s="6" t="s">
        <v>2705</v>
      </c>
      <c r="F122" s="10" t="n">
        <v>470000</v>
      </c>
      <c r="G122" s="10" t="n">
        <v>3500000000</v>
      </c>
      <c r="H122" s="14" t="n">
        <v>4.13</v>
      </c>
      <c r="I122" s="9" t="s">
        <v>2706</v>
      </c>
      <c r="J122" s="6"/>
      <c r="K122" s="9" t="s">
        <v>2645</v>
      </c>
      <c r="L122" s="9" t="s">
        <v>2003</v>
      </c>
    </row>
    <row r="123" customFormat="false" ht="15" hidden="false" customHeight="false" outlineLevel="0" collapsed="false">
      <c r="A123" s="6" t="s">
        <v>57</v>
      </c>
      <c r="B123" s="6" t="s">
        <v>2707</v>
      </c>
      <c r="C123" s="6" t="s">
        <v>2594</v>
      </c>
      <c r="D123" s="6" t="s">
        <v>22</v>
      </c>
      <c r="E123" s="6" t="s">
        <v>2665</v>
      </c>
      <c r="F123" s="10" t="n">
        <v>78500</v>
      </c>
      <c r="G123" s="10" t="n">
        <v>3850000000</v>
      </c>
      <c r="H123" s="14" t="n">
        <v>0.69</v>
      </c>
      <c r="I123" s="9" t="s">
        <v>2708</v>
      </c>
      <c r="J123" s="6"/>
      <c r="K123" s="9" t="s">
        <v>2645</v>
      </c>
      <c r="L123" s="9" t="s">
        <v>2003</v>
      </c>
    </row>
    <row r="124" customFormat="false" ht="15" hidden="false" customHeight="false" outlineLevel="0" collapsed="false">
      <c r="A124" s="6" t="s">
        <v>57</v>
      </c>
      <c r="B124" s="6" t="s">
        <v>2709</v>
      </c>
      <c r="C124" s="6" t="s">
        <v>2594</v>
      </c>
      <c r="D124" s="6" t="s">
        <v>22</v>
      </c>
      <c r="E124" s="6" t="s">
        <v>2710</v>
      </c>
      <c r="F124" s="10" t="n">
        <v>73827</v>
      </c>
      <c r="G124" s="10"/>
      <c r="H124" s="14" t="n">
        <v>0.65</v>
      </c>
      <c r="I124" s="9" t="s">
        <v>2308</v>
      </c>
      <c r="J124" s="6"/>
      <c r="K124" s="6"/>
      <c r="L124" s="9" t="s">
        <v>2003</v>
      </c>
    </row>
    <row r="125" customFormat="false" ht="15" hidden="false" customHeight="false" outlineLevel="0" collapsed="false">
      <c r="A125" s="6" t="s">
        <v>57</v>
      </c>
      <c r="B125" s="6" t="s">
        <v>2698</v>
      </c>
      <c r="C125" s="6" t="s">
        <v>2604</v>
      </c>
      <c r="D125" s="6" t="s">
        <v>22</v>
      </c>
      <c r="E125" s="6" t="s">
        <v>2699</v>
      </c>
      <c r="F125" s="10" t="n">
        <v>90000</v>
      </c>
      <c r="G125" s="10" t="n">
        <v>3000000000</v>
      </c>
      <c r="H125" s="14" t="n">
        <v>0.83</v>
      </c>
      <c r="I125" s="9" t="s">
        <v>2700</v>
      </c>
      <c r="J125" s="6"/>
      <c r="K125" s="9" t="s">
        <v>2645</v>
      </c>
      <c r="L125" s="9" t="s">
        <v>2711</v>
      </c>
    </row>
    <row r="126" customFormat="false" ht="15" hidden="false" customHeight="false" outlineLevel="0" collapsed="false">
      <c r="A126" s="6" t="s">
        <v>57</v>
      </c>
      <c r="B126" s="6" t="s">
        <v>2698</v>
      </c>
      <c r="C126" s="6" t="s">
        <v>2604</v>
      </c>
      <c r="D126" s="6" t="s">
        <v>22</v>
      </c>
      <c r="E126" s="6" t="s">
        <v>2699</v>
      </c>
      <c r="F126" s="10" t="n">
        <v>15000</v>
      </c>
      <c r="G126" s="10" t="n">
        <v>500000000</v>
      </c>
      <c r="H126" s="14" t="n">
        <v>0.14</v>
      </c>
      <c r="I126" s="9" t="s">
        <v>2563</v>
      </c>
      <c r="J126" s="6"/>
      <c r="K126" s="9" t="s">
        <v>2645</v>
      </c>
      <c r="L126" s="9" t="s">
        <v>2711</v>
      </c>
    </row>
    <row r="127" customFormat="false" ht="15" hidden="false" customHeight="false" outlineLevel="0" collapsed="false">
      <c r="A127" s="6" t="s">
        <v>57</v>
      </c>
      <c r="B127" s="6" t="s">
        <v>2701</v>
      </c>
      <c r="C127" s="6" t="s">
        <v>2594</v>
      </c>
      <c r="D127" s="6" t="s">
        <v>22</v>
      </c>
      <c r="E127" s="6" t="s">
        <v>2699</v>
      </c>
      <c r="F127" s="10" t="n">
        <v>9581</v>
      </c>
      <c r="G127" s="10"/>
      <c r="H127" s="14" t="n">
        <v>0.09</v>
      </c>
      <c r="I127" s="9" t="s">
        <v>2712</v>
      </c>
      <c r="J127" s="6"/>
      <c r="K127" s="6"/>
      <c r="L127" s="9" t="s">
        <v>2711</v>
      </c>
    </row>
    <row r="128" customFormat="false" ht="15" hidden="false" customHeight="false" outlineLevel="0" collapsed="false">
      <c r="A128" s="6" t="s">
        <v>57</v>
      </c>
      <c r="B128" s="6" t="s">
        <v>2701</v>
      </c>
      <c r="C128" s="6" t="s">
        <v>2594</v>
      </c>
      <c r="D128" s="6" t="s">
        <v>22</v>
      </c>
      <c r="E128" s="6" t="s">
        <v>2699</v>
      </c>
      <c r="F128" s="10" t="n">
        <v>33533</v>
      </c>
      <c r="G128" s="10"/>
      <c r="H128" s="14" t="n">
        <v>0.31</v>
      </c>
      <c r="I128" s="9" t="s">
        <v>2553</v>
      </c>
      <c r="J128" s="6"/>
      <c r="K128" s="6"/>
      <c r="L128" s="9" t="s">
        <v>2711</v>
      </c>
    </row>
    <row r="129" customFormat="false" ht="15" hidden="false" customHeight="false" outlineLevel="0" collapsed="false">
      <c r="A129" s="6" t="s">
        <v>57</v>
      </c>
      <c r="B129" s="6" t="s">
        <v>2701</v>
      </c>
      <c r="C129" s="6" t="s">
        <v>2594</v>
      </c>
      <c r="D129" s="6" t="s">
        <v>22</v>
      </c>
      <c r="E129" s="6" t="s">
        <v>2699</v>
      </c>
      <c r="F129" s="10" t="n">
        <v>736886</v>
      </c>
      <c r="G129" s="10" t="n">
        <v>1000000000</v>
      </c>
      <c r="H129" s="14" t="n">
        <v>0.34</v>
      </c>
      <c r="I129" s="9" t="s">
        <v>2713</v>
      </c>
      <c r="J129" s="6"/>
      <c r="K129" s="9" t="s">
        <v>2645</v>
      </c>
      <c r="L129" s="9" t="s">
        <v>2711</v>
      </c>
    </row>
    <row r="130" customFormat="false" ht="15" hidden="false" customHeight="false" outlineLevel="0" collapsed="false">
      <c r="A130" s="6" t="s">
        <v>57</v>
      </c>
      <c r="B130" s="6" t="s">
        <v>2701</v>
      </c>
      <c r="C130" s="6" t="s">
        <v>2594</v>
      </c>
      <c r="D130" s="6" t="s">
        <v>22</v>
      </c>
      <c r="E130" s="6" t="s">
        <v>2665</v>
      </c>
      <c r="F130" s="10" t="n">
        <v>15000</v>
      </c>
      <c r="G130" s="10" t="n">
        <v>3500000000</v>
      </c>
      <c r="H130" s="14" t="n">
        <v>0.14</v>
      </c>
      <c r="I130" s="9" t="s">
        <v>2713</v>
      </c>
      <c r="J130" s="6"/>
      <c r="K130" s="9" t="s">
        <v>2645</v>
      </c>
      <c r="L130" s="9" t="s">
        <v>2711</v>
      </c>
    </row>
    <row r="131" customFormat="false" ht="15" hidden="false" customHeight="false" outlineLevel="0" collapsed="false">
      <c r="A131" s="6" t="s">
        <v>57</v>
      </c>
      <c r="B131" s="6" t="s">
        <v>2701</v>
      </c>
      <c r="C131" s="6" t="s">
        <v>2594</v>
      </c>
      <c r="D131" s="6" t="s">
        <v>2704</v>
      </c>
      <c r="E131" s="6" t="s">
        <v>2705</v>
      </c>
      <c r="F131" s="10" t="n">
        <v>470000</v>
      </c>
      <c r="G131" s="10" t="n">
        <v>3850000000</v>
      </c>
      <c r="H131" s="14" t="n">
        <v>4.35</v>
      </c>
      <c r="I131" s="9" t="s">
        <v>2706</v>
      </c>
      <c r="J131" s="6"/>
      <c r="K131" s="9" t="s">
        <v>2645</v>
      </c>
      <c r="L131" s="9" t="s">
        <v>2711</v>
      </c>
    </row>
    <row r="132" customFormat="false" ht="15" hidden="false" customHeight="false" outlineLevel="0" collapsed="false">
      <c r="A132" s="6" t="s">
        <v>57</v>
      </c>
      <c r="B132" s="6" t="s">
        <v>2707</v>
      </c>
      <c r="C132" s="6" t="s">
        <v>2594</v>
      </c>
      <c r="D132" s="6" t="s">
        <v>22</v>
      </c>
      <c r="E132" s="6" t="s">
        <v>2665</v>
      </c>
      <c r="F132" s="10" t="n">
        <v>78500</v>
      </c>
      <c r="G132" s="10" t="n">
        <v>1600000000</v>
      </c>
      <c r="H132" s="14" t="n">
        <v>0.73</v>
      </c>
      <c r="I132" s="9" t="s">
        <v>2714</v>
      </c>
      <c r="J132" s="6"/>
      <c r="K132" s="9" t="s">
        <v>2645</v>
      </c>
      <c r="L132" s="9" t="s">
        <v>2711</v>
      </c>
    </row>
    <row r="133" customFormat="false" ht="15" hidden="false" customHeight="false" outlineLevel="0" collapsed="false">
      <c r="A133" s="6" t="s">
        <v>57</v>
      </c>
      <c r="B133" s="6" t="s">
        <v>2709</v>
      </c>
      <c r="C133" s="6" t="s">
        <v>2594</v>
      </c>
      <c r="D133" s="6" t="s">
        <v>22</v>
      </c>
      <c r="E133" s="6" t="s">
        <v>2710</v>
      </c>
      <c r="F133" s="10" t="n">
        <v>73827</v>
      </c>
      <c r="G133" s="10"/>
      <c r="H133" s="14" t="n">
        <v>0.68</v>
      </c>
      <c r="I133" s="9" t="s">
        <v>2715</v>
      </c>
      <c r="J133" s="6"/>
      <c r="K133" s="6"/>
      <c r="L133" s="9" t="s">
        <v>2711</v>
      </c>
    </row>
    <row r="134" customFormat="false" ht="15" hidden="false" customHeight="false" outlineLevel="0" collapsed="false">
      <c r="A134" s="9" t="s">
        <v>371</v>
      </c>
      <c r="B134" s="6" t="s">
        <v>2716</v>
      </c>
      <c r="C134" s="6" t="s">
        <v>2604</v>
      </c>
      <c r="D134" s="6" t="s">
        <v>2589</v>
      </c>
      <c r="E134" s="6" t="s">
        <v>2595</v>
      </c>
      <c r="F134" s="10" t="n">
        <v>100000</v>
      </c>
      <c r="G134" s="10"/>
      <c r="H134" s="14" t="n">
        <v>1.08</v>
      </c>
      <c r="I134" s="9" t="s">
        <v>2717</v>
      </c>
      <c r="J134" s="9" t="s">
        <v>1577</v>
      </c>
      <c r="K134" s="6"/>
      <c r="L134" s="9" t="s">
        <v>1899</v>
      </c>
    </row>
    <row r="135" customFormat="false" ht="15" hidden="false" customHeight="false" outlineLevel="0" collapsed="false">
      <c r="A135" s="9" t="s">
        <v>371</v>
      </c>
      <c r="B135" s="6" t="s">
        <v>2716</v>
      </c>
      <c r="C135" s="6" t="s">
        <v>2604</v>
      </c>
      <c r="D135" s="6" t="s">
        <v>2589</v>
      </c>
      <c r="E135" s="6" t="s">
        <v>2595</v>
      </c>
      <c r="F135" s="10" t="n">
        <v>464100</v>
      </c>
      <c r="G135" s="10"/>
      <c r="H135" s="14" t="n">
        <v>5.02</v>
      </c>
      <c r="I135" s="9" t="s">
        <v>2717</v>
      </c>
      <c r="J135" s="9" t="s">
        <v>1577</v>
      </c>
      <c r="K135" s="6"/>
      <c r="L135" s="9" t="s">
        <v>1899</v>
      </c>
    </row>
    <row r="136" customFormat="false" ht="15" hidden="false" customHeight="false" outlineLevel="0" collapsed="false">
      <c r="A136" s="9" t="s">
        <v>371</v>
      </c>
      <c r="B136" s="6" t="s">
        <v>2716</v>
      </c>
      <c r="C136" s="6" t="s">
        <v>2604</v>
      </c>
      <c r="D136" s="6" t="s">
        <v>2589</v>
      </c>
      <c r="E136" s="6" t="s">
        <v>2595</v>
      </c>
      <c r="F136" s="10" t="n">
        <v>500000</v>
      </c>
      <c r="G136" s="10" t="n">
        <v>40000000000</v>
      </c>
      <c r="H136" s="14" t="n">
        <v>5.41</v>
      </c>
      <c r="I136" s="9" t="s">
        <v>2717</v>
      </c>
      <c r="J136" s="9" t="s">
        <v>1577</v>
      </c>
      <c r="K136" s="9" t="s">
        <v>2645</v>
      </c>
      <c r="L136" s="9" t="s">
        <v>1899</v>
      </c>
    </row>
    <row r="137" customFormat="false" ht="15" hidden="false" customHeight="false" outlineLevel="0" collapsed="false">
      <c r="A137" s="9" t="s">
        <v>371</v>
      </c>
      <c r="B137" s="6" t="s">
        <v>2716</v>
      </c>
      <c r="C137" s="6" t="s">
        <v>2604</v>
      </c>
      <c r="D137" s="6" t="s">
        <v>2589</v>
      </c>
      <c r="E137" s="6" t="s">
        <v>2595</v>
      </c>
      <c r="F137" s="10" t="n">
        <v>350000</v>
      </c>
      <c r="G137" s="10" t="n">
        <v>25000000000</v>
      </c>
      <c r="H137" s="14" t="n">
        <v>3.79</v>
      </c>
      <c r="I137" s="9" t="s">
        <v>2717</v>
      </c>
      <c r="J137" s="9" t="s">
        <v>1577</v>
      </c>
      <c r="K137" s="9" t="s">
        <v>2645</v>
      </c>
      <c r="L137" s="9" t="s">
        <v>1899</v>
      </c>
    </row>
    <row r="138" customFormat="false" ht="15" hidden="false" customHeight="false" outlineLevel="0" collapsed="false">
      <c r="A138" s="9" t="s">
        <v>371</v>
      </c>
      <c r="B138" s="6" t="s">
        <v>2716</v>
      </c>
      <c r="C138" s="6" t="s">
        <v>2604</v>
      </c>
      <c r="D138" s="6" t="s">
        <v>2589</v>
      </c>
      <c r="E138" s="6" t="s">
        <v>2595</v>
      </c>
      <c r="F138" s="10"/>
      <c r="G138" s="10" t="n">
        <v>20000000000</v>
      </c>
      <c r="H138" s="14" t="n">
        <v>0</v>
      </c>
      <c r="I138" s="9" t="s">
        <v>2718</v>
      </c>
      <c r="J138" s="9" t="s">
        <v>2378</v>
      </c>
      <c r="K138" s="9" t="s">
        <v>2645</v>
      </c>
      <c r="L138" s="9" t="s">
        <v>1899</v>
      </c>
    </row>
    <row r="139" customFormat="false" ht="15" hidden="false" customHeight="false" outlineLevel="0" collapsed="false">
      <c r="A139" s="9" t="s">
        <v>371</v>
      </c>
      <c r="B139" s="6" t="s">
        <v>2716</v>
      </c>
      <c r="C139" s="6" t="s">
        <v>2604</v>
      </c>
      <c r="D139" s="6" t="s">
        <v>2589</v>
      </c>
      <c r="E139" s="6" t="s">
        <v>2595</v>
      </c>
      <c r="F139" s="10"/>
      <c r="G139" s="10" t="n">
        <v>10000000000</v>
      </c>
      <c r="H139" s="14" t="n">
        <v>0</v>
      </c>
      <c r="I139" s="9" t="s">
        <v>2717</v>
      </c>
      <c r="J139" s="9" t="s">
        <v>1577</v>
      </c>
      <c r="K139" s="9" t="s">
        <v>2645</v>
      </c>
      <c r="L139" s="9" t="s">
        <v>1899</v>
      </c>
    </row>
    <row r="140" customFormat="false" ht="15" hidden="false" customHeight="false" outlineLevel="0" collapsed="false">
      <c r="A140" s="9" t="s">
        <v>371</v>
      </c>
      <c r="B140" s="6" t="s">
        <v>2719</v>
      </c>
      <c r="C140" s="6" t="s">
        <v>2604</v>
      </c>
      <c r="D140" s="6" t="s">
        <v>2589</v>
      </c>
      <c r="E140" s="6" t="s">
        <v>2654</v>
      </c>
      <c r="F140" s="10" t="n">
        <v>100000</v>
      </c>
      <c r="G140" s="10"/>
      <c r="H140" s="14" t="n">
        <v>1.08</v>
      </c>
      <c r="I140" s="9" t="s">
        <v>2717</v>
      </c>
      <c r="J140" s="9" t="s">
        <v>1577</v>
      </c>
      <c r="K140" s="6"/>
      <c r="L140" s="9" t="s">
        <v>2720</v>
      </c>
    </row>
    <row r="141" customFormat="false" ht="15" hidden="false" customHeight="false" outlineLevel="0" collapsed="false">
      <c r="A141" s="9" t="s">
        <v>371</v>
      </c>
      <c r="B141" s="6" t="s">
        <v>2719</v>
      </c>
      <c r="C141" s="6" t="s">
        <v>2604</v>
      </c>
      <c r="D141" s="6" t="s">
        <v>2589</v>
      </c>
      <c r="E141" s="6" t="s">
        <v>2654</v>
      </c>
      <c r="F141" s="10" t="n">
        <v>464100</v>
      </c>
      <c r="G141" s="10"/>
      <c r="H141" s="14" t="n">
        <v>5.02</v>
      </c>
      <c r="I141" s="9" t="s">
        <v>2717</v>
      </c>
      <c r="J141" s="9" t="s">
        <v>1577</v>
      </c>
      <c r="K141" s="6"/>
      <c r="L141" s="9" t="s">
        <v>2720</v>
      </c>
    </row>
    <row r="142" customFormat="false" ht="15" hidden="false" customHeight="false" outlineLevel="0" collapsed="false">
      <c r="A142" s="9" t="s">
        <v>371</v>
      </c>
      <c r="B142" s="6" t="s">
        <v>2719</v>
      </c>
      <c r="C142" s="6" t="s">
        <v>2604</v>
      </c>
      <c r="D142" s="6" t="s">
        <v>2589</v>
      </c>
      <c r="E142" s="6" t="s">
        <v>2654</v>
      </c>
      <c r="F142" s="10" t="n">
        <v>500000</v>
      </c>
      <c r="G142" s="10" t="n">
        <v>40000000000</v>
      </c>
      <c r="H142" s="14" t="n">
        <v>5.41</v>
      </c>
      <c r="I142" s="9" t="s">
        <v>2717</v>
      </c>
      <c r="J142" s="9" t="s">
        <v>1577</v>
      </c>
      <c r="K142" s="9" t="s">
        <v>2645</v>
      </c>
      <c r="L142" s="9" t="s">
        <v>2720</v>
      </c>
    </row>
    <row r="143" customFormat="false" ht="15" hidden="false" customHeight="false" outlineLevel="0" collapsed="false">
      <c r="A143" s="9" t="s">
        <v>371</v>
      </c>
      <c r="B143" s="6" t="s">
        <v>2719</v>
      </c>
      <c r="C143" s="6" t="s">
        <v>2604</v>
      </c>
      <c r="D143" s="6" t="s">
        <v>2589</v>
      </c>
      <c r="E143" s="6" t="s">
        <v>2654</v>
      </c>
      <c r="F143" s="10" t="n">
        <v>350000</v>
      </c>
      <c r="G143" s="10" t="n">
        <v>25000000000</v>
      </c>
      <c r="H143" s="14" t="n">
        <v>3.79</v>
      </c>
      <c r="I143" s="9" t="s">
        <v>2717</v>
      </c>
      <c r="J143" s="9" t="s">
        <v>1577</v>
      </c>
      <c r="K143" s="9" t="s">
        <v>2645</v>
      </c>
      <c r="L143" s="9" t="s">
        <v>2720</v>
      </c>
    </row>
    <row r="144" customFormat="false" ht="15" hidden="false" customHeight="false" outlineLevel="0" collapsed="false">
      <c r="A144" s="9" t="s">
        <v>371</v>
      </c>
      <c r="B144" s="6" t="s">
        <v>2719</v>
      </c>
      <c r="C144" s="6" t="s">
        <v>2604</v>
      </c>
      <c r="D144" s="6" t="s">
        <v>2589</v>
      </c>
      <c r="E144" s="6" t="s">
        <v>2654</v>
      </c>
      <c r="F144" s="10"/>
      <c r="G144" s="10" t="n">
        <v>20000000000</v>
      </c>
      <c r="H144" s="14" t="n">
        <v>0</v>
      </c>
      <c r="I144" s="9" t="s">
        <v>2718</v>
      </c>
      <c r="J144" s="9" t="s">
        <v>2378</v>
      </c>
      <c r="K144" s="9" t="s">
        <v>2645</v>
      </c>
      <c r="L144" s="9" t="s">
        <v>2720</v>
      </c>
    </row>
    <row r="145" customFormat="false" ht="15" hidden="false" customHeight="false" outlineLevel="0" collapsed="false">
      <c r="A145" s="9" t="s">
        <v>371</v>
      </c>
      <c r="B145" s="6" t="s">
        <v>2719</v>
      </c>
      <c r="C145" s="6" t="s">
        <v>2604</v>
      </c>
      <c r="D145" s="6" t="s">
        <v>2589</v>
      </c>
      <c r="E145" s="6" t="s">
        <v>2654</v>
      </c>
      <c r="F145" s="10"/>
      <c r="G145" s="10" t="n">
        <v>10000000000</v>
      </c>
      <c r="H145" s="14" t="n">
        <v>0</v>
      </c>
      <c r="I145" s="9" t="s">
        <v>2717</v>
      </c>
      <c r="J145" s="9" t="s">
        <v>1577</v>
      </c>
      <c r="K145" s="9" t="s">
        <v>2645</v>
      </c>
      <c r="L145" s="9" t="s">
        <v>2720</v>
      </c>
    </row>
    <row r="146" customFormat="false" ht="15" hidden="false" customHeight="false" outlineLevel="0" collapsed="false">
      <c r="A146" s="6" t="s">
        <v>331</v>
      </c>
      <c r="B146" s="6" t="s">
        <v>2721</v>
      </c>
      <c r="C146" s="6" t="s">
        <v>2594</v>
      </c>
      <c r="D146" s="6" t="s">
        <v>2589</v>
      </c>
      <c r="E146" s="6" t="s">
        <v>2665</v>
      </c>
      <c r="F146" s="10" t="n">
        <v>135000</v>
      </c>
      <c r="G146" s="10" t="n">
        <v>2000000000</v>
      </c>
      <c r="H146" s="14" t="n">
        <v>0.14</v>
      </c>
      <c r="I146" s="9" t="s">
        <v>2380</v>
      </c>
      <c r="J146" s="6"/>
      <c r="K146" s="6" t="s">
        <v>2721</v>
      </c>
      <c r="L146" s="9" t="s">
        <v>2054</v>
      </c>
    </row>
    <row r="147" customFormat="false" ht="15" hidden="false" customHeight="false" outlineLevel="0" collapsed="false">
      <c r="A147" s="6" t="s">
        <v>331</v>
      </c>
      <c r="B147" s="6" t="s">
        <v>2722</v>
      </c>
      <c r="C147" s="6" t="s">
        <v>2594</v>
      </c>
      <c r="D147" s="6" t="s">
        <v>2589</v>
      </c>
      <c r="E147" s="6" t="s">
        <v>2672</v>
      </c>
      <c r="F147" s="10" t="n">
        <v>6570</v>
      </c>
      <c r="G147" s="10" t="n">
        <v>18140000</v>
      </c>
      <c r="H147" s="14" t="n">
        <v>0</v>
      </c>
      <c r="I147" s="9" t="s">
        <v>2723</v>
      </c>
      <c r="J147" s="6"/>
      <c r="K147" s="6" t="s">
        <v>2722</v>
      </c>
      <c r="L147" s="9" t="s">
        <v>2054</v>
      </c>
    </row>
    <row r="148" customFormat="false" ht="15" hidden="false" customHeight="false" outlineLevel="0" collapsed="false">
      <c r="A148" s="6" t="s">
        <v>331</v>
      </c>
      <c r="B148" s="6" t="s">
        <v>2722</v>
      </c>
      <c r="C148" s="6" t="s">
        <v>2594</v>
      </c>
      <c r="D148" s="6" t="s">
        <v>2589</v>
      </c>
      <c r="E148" s="6" t="s">
        <v>2672</v>
      </c>
      <c r="F148" s="10" t="n">
        <v>1472</v>
      </c>
      <c r="G148" s="10"/>
      <c r="H148" s="14" t="n">
        <v>0</v>
      </c>
      <c r="I148" s="9" t="s">
        <v>2724</v>
      </c>
      <c r="J148" s="6"/>
      <c r="K148" s="6"/>
      <c r="L148" s="9" t="s">
        <v>2054</v>
      </c>
    </row>
    <row r="149" customFormat="false" ht="15" hidden="false" customHeight="false" outlineLevel="0" collapsed="false">
      <c r="A149" s="6" t="s">
        <v>129</v>
      </c>
      <c r="B149" s="6" t="s">
        <v>2725</v>
      </c>
      <c r="C149" s="6" t="s">
        <v>2594</v>
      </c>
      <c r="D149" s="6" t="s">
        <v>22</v>
      </c>
      <c r="E149" s="6" t="s">
        <v>2726</v>
      </c>
      <c r="F149" s="10" t="n">
        <v>600000</v>
      </c>
      <c r="G149" s="10" t="n">
        <v>25000000</v>
      </c>
      <c r="H149" s="14" t="n">
        <v>6.66</v>
      </c>
      <c r="I149" s="9" t="s">
        <v>2727</v>
      </c>
      <c r="J149" s="6"/>
      <c r="K149" s="6" t="s">
        <v>2725</v>
      </c>
      <c r="L149" s="9" t="s">
        <v>2078</v>
      </c>
    </row>
    <row r="150" customFormat="false" ht="15" hidden="false" customHeight="false" outlineLevel="0" collapsed="false">
      <c r="A150" s="6" t="s">
        <v>129</v>
      </c>
      <c r="B150" s="6" t="s">
        <v>2725</v>
      </c>
      <c r="C150" s="6" t="s">
        <v>2594</v>
      </c>
      <c r="D150" s="6" t="s">
        <v>22</v>
      </c>
      <c r="E150" s="6" t="s">
        <v>2726</v>
      </c>
      <c r="F150" s="10" t="n">
        <v>600000</v>
      </c>
      <c r="G150" s="10" t="n">
        <v>25000000</v>
      </c>
      <c r="H150" s="14" t="n">
        <v>6.66</v>
      </c>
      <c r="I150" s="9" t="s">
        <v>2727</v>
      </c>
      <c r="J150" s="6"/>
      <c r="K150" s="6" t="s">
        <v>2725</v>
      </c>
      <c r="L150" s="9" t="s">
        <v>2728</v>
      </c>
    </row>
    <row r="151" customFormat="false" ht="15" hidden="false" customHeight="false" outlineLevel="0" collapsed="false">
      <c r="A151" s="6" t="s">
        <v>129</v>
      </c>
      <c r="B151" s="6" t="s">
        <v>2729</v>
      </c>
      <c r="C151" s="6" t="s">
        <v>2604</v>
      </c>
      <c r="D151" s="6" t="s">
        <v>2730</v>
      </c>
      <c r="E151" s="6" t="s">
        <v>2731</v>
      </c>
      <c r="F151" s="10" t="n">
        <v>346955</v>
      </c>
      <c r="G151" s="10"/>
      <c r="H151" s="14" t="n">
        <v>3.86</v>
      </c>
      <c r="I151" s="9" t="s">
        <v>2148</v>
      </c>
      <c r="J151" s="6"/>
      <c r="K151" s="6"/>
      <c r="L151" s="9" t="s">
        <v>2728</v>
      </c>
    </row>
    <row r="152" customFormat="false" ht="15" hidden="false" customHeight="false" outlineLevel="0" collapsed="false">
      <c r="A152" s="9" t="s">
        <v>234</v>
      </c>
      <c r="B152" s="6" t="s">
        <v>2732</v>
      </c>
      <c r="C152" s="6" t="s">
        <v>2604</v>
      </c>
      <c r="D152" s="6" t="s">
        <v>2733</v>
      </c>
      <c r="E152" s="6" t="s">
        <v>2626</v>
      </c>
      <c r="F152" s="10" t="n">
        <v>150000</v>
      </c>
      <c r="G152" s="10" t="n">
        <v>30</v>
      </c>
      <c r="H152" s="14" t="n">
        <v>0.23</v>
      </c>
      <c r="I152" s="9" t="s">
        <v>2734</v>
      </c>
      <c r="J152" s="6"/>
      <c r="K152" s="6" t="s">
        <v>2732</v>
      </c>
      <c r="L152" s="9" t="s">
        <v>1824</v>
      </c>
    </row>
    <row r="153" customFormat="false" ht="15" hidden="false" customHeight="false" outlineLevel="0" collapsed="false">
      <c r="A153" s="9" t="s">
        <v>234</v>
      </c>
      <c r="B153" s="6" t="s">
        <v>2732</v>
      </c>
      <c r="C153" s="6" t="s">
        <v>2604</v>
      </c>
      <c r="D153" s="6" t="s">
        <v>2733</v>
      </c>
      <c r="E153" s="6" t="s">
        <v>2626</v>
      </c>
      <c r="F153" s="10" t="n">
        <v>1000000</v>
      </c>
      <c r="G153" s="10" t="n">
        <v>207</v>
      </c>
      <c r="H153" s="14" t="n">
        <v>1.53</v>
      </c>
      <c r="I153" s="9" t="s">
        <v>2734</v>
      </c>
      <c r="J153" s="6"/>
      <c r="K153" s="6" t="s">
        <v>2732</v>
      </c>
      <c r="L153" s="9" t="s">
        <v>1824</v>
      </c>
    </row>
    <row r="154" customFormat="false" ht="15" hidden="false" customHeight="false" outlineLevel="0" collapsed="false">
      <c r="A154" s="9" t="s">
        <v>234</v>
      </c>
      <c r="B154" s="6" t="s">
        <v>2732</v>
      </c>
      <c r="C154" s="6" t="s">
        <v>2604</v>
      </c>
      <c r="D154" s="6" t="s">
        <v>2733</v>
      </c>
      <c r="E154" s="6" t="s">
        <v>2626</v>
      </c>
      <c r="F154" s="10" t="n">
        <v>560000</v>
      </c>
      <c r="G154" s="10" t="n">
        <v>100</v>
      </c>
      <c r="H154" s="14" t="n">
        <v>0.85</v>
      </c>
      <c r="I154" s="9" t="s">
        <v>2735</v>
      </c>
      <c r="J154" s="6"/>
      <c r="K154" s="6" t="s">
        <v>2732</v>
      </c>
      <c r="L154" s="9" t="s">
        <v>1824</v>
      </c>
    </row>
    <row r="155" customFormat="false" ht="15" hidden="false" customHeight="false" outlineLevel="0" collapsed="false">
      <c r="A155" s="9" t="s">
        <v>234</v>
      </c>
      <c r="B155" s="6" t="s">
        <v>2732</v>
      </c>
      <c r="C155" s="6" t="s">
        <v>2604</v>
      </c>
      <c r="D155" s="6" t="s">
        <v>2733</v>
      </c>
      <c r="E155" s="6" t="s">
        <v>2736</v>
      </c>
      <c r="F155" s="10" t="n">
        <v>672000</v>
      </c>
      <c r="G155" s="10" t="n">
        <v>120</v>
      </c>
      <c r="H155" s="14" t="n">
        <v>1.03</v>
      </c>
      <c r="I155" s="9" t="s">
        <v>2737</v>
      </c>
      <c r="J155" s="6"/>
      <c r="K155" s="6" t="s">
        <v>2732</v>
      </c>
      <c r="L155" s="9" t="s">
        <v>1824</v>
      </c>
    </row>
    <row r="156" customFormat="false" ht="15" hidden="false" customHeight="false" outlineLevel="0" collapsed="false">
      <c r="A156" s="9" t="s">
        <v>234</v>
      </c>
      <c r="B156" s="6" t="s">
        <v>2732</v>
      </c>
      <c r="C156" s="6" t="s">
        <v>2604</v>
      </c>
      <c r="D156" s="6" t="s">
        <v>2733</v>
      </c>
      <c r="E156" s="6" t="s">
        <v>2738</v>
      </c>
      <c r="F156" s="10" t="n">
        <v>226500</v>
      </c>
      <c r="G156" s="10"/>
      <c r="H156" s="14" t="n">
        <v>0.35</v>
      </c>
      <c r="I156" s="9" t="s">
        <v>2739</v>
      </c>
      <c r="J156" s="6"/>
      <c r="K156" s="6"/>
      <c r="L156" s="9" t="s">
        <v>1824</v>
      </c>
    </row>
    <row r="157" customFormat="false" ht="15" hidden="false" customHeight="false" outlineLevel="0" collapsed="false">
      <c r="A157" s="9" t="s">
        <v>234</v>
      </c>
      <c r="B157" s="6" t="s">
        <v>2732</v>
      </c>
      <c r="C157" s="6" t="s">
        <v>2604</v>
      </c>
      <c r="D157" s="6" t="s">
        <v>2733</v>
      </c>
      <c r="E157" s="6" t="s">
        <v>2665</v>
      </c>
      <c r="F157" s="10" t="n">
        <v>1600000</v>
      </c>
      <c r="G157" s="10" t="n">
        <v>300</v>
      </c>
      <c r="H157" s="14" t="n">
        <v>2.44</v>
      </c>
      <c r="I157" s="9" t="s">
        <v>2740</v>
      </c>
      <c r="J157" s="6"/>
      <c r="K157" s="6" t="s">
        <v>2732</v>
      </c>
      <c r="L157" s="9" t="s">
        <v>1824</v>
      </c>
    </row>
    <row r="158" customFormat="false" ht="15" hidden="false" customHeight="false" outlineLevel="0" collapsed="false">
      <c r="A158" s="9" t="s">
        <v>234</v>
      </c>
      <c r="B158" s="6" t="s">
        <v>2741</v>
      </c>
      <c r="C158" s="6" t="s">
        <v>2594</v>
      </c>
      <c r="D158" s="6" t="s">
        <v>2733</v>
      </c>
      <c r="E158" s="6" t="s">
        <v>2667</v>
      </c>
      <c r="F158" s="10" t="n">
        <v>35718</v>
      </c>
      <c r="G158" s="10" t="n">
        <v>10</v>
      </c>
      <c r="H158" s="14" t="n">
        <v>0.05</v>
      </c>
      <c r="I158" s="9" t="s">
        <v>2742</v>
      </c>
      <c r="J158" s="6"/>
      <c r="K158" s="6" t="s">
        <v>2741</v>
      </c>
      <c r="L158" s="9" t="s">
        <v>1824</v>
      </c>
    </row>
    <row r="159" customFormat="false" ht="15" hidden="false" customHeight="false" outlineLevel="0" collapsed="false">
      <c r="A159" s="9" t="s">
        <v>234</v>
      </c>
      <c r="B159" s="6" t="s">
        <v>2741</v>
      </c>
      <c r="C159" s="6" t="s">
        <v>2594</v>
      </c>
      <c r="D159" s="6" t="s">
        <v>2733</v>
      </c>
      <c r="E159" s="6" t="s">
        <v>2665</v>
      </c>
      <c r="F159" s="10" t="n">
        <v>1300000</v>
      </c>
      <c r="G159" s="10" t="n">
        <v>170</v>
      </c>
      <c r="H159" s="14" t="n">
        <v>1.98</v>
      </c>
      <c r="I159" s="9" t="s">
        <v>2743</v>
      </c>
      <c r="J159" s="6"/>
      <c r="K159" s="6" t="s">
        <v>2741</v>
      </c>
      <c r="L159" s="9" t="s">
        <v>1824</v>
      </c>
    </row>
    <row r="160" customFormat="false" ht="15" hidden="false" customHeight="false" outlineLevel="0" collapsed="false">
      <c r="A160" s="9" t="s">
        <v>234</v>
      </c>
      <c r="B160" s="6" t="s">
        <v>2741</v>
      </c>
      <c r="C160" s="6" t="s">
        <v>2594</v>
      </c>
      <c r="D160" s="6" t="s">
        <v>2733</v>
      </c>
      <c r="E160" s="6" t="s">
        <v>2674</v>
      </c>
      <c r="F160" s="10" t="n">
        <v>70248</v>
      </c>
      <c r="G160" s="10" t="n">
        <v>50</v>
      </c>
      <c r="H160" s="14" t="n">
        <v>0.11</v>
      </c>
      <c r="I160" s="9" t="s">
        <v>2744</v>
      </c>
      <c r="J160" s="6"/>
      <c r="K160" s="6" t="s">
        <v>2741</v>
      </c>
      <c r="L160" s="9" t="s">
        <v>1824</v>
      </c>
    </row>
    <row r="161" customFormat="false" ht="15" hidden="false" customHeight="false" outlineLevel="0" collapsed="false">
      <c r="A161" s="9" t="s">
        <v>234</v>
      </c>
      <c r="B161" s="6" t="s">
        <v>2741</v>
      </c>
      <c r="C161" s="6" t="s">
        <v>2594</v>
      </c>
      <c r="D161" s="6" t="s">
        <v>2733</v>
      </c>
      <c r="E161" s="6" t="s">
        <v>2672</v>
      </c>
      <c r="F161" s="10" t="n">
        <v>82009</v>
      </c>
      <c r="G161" s="10" t="n">
        <v>50</v>
      </c>
      <c r="H161" s="14" t="n">
        <v>0.13</v>
      </c>
      <c r="I161" s="9" t="s">
        <v>2655</v>
      </c>
      <c r="J161" s="6"/>
      <c r="K161" s="6" t="s">
        <v>2741</v>
      </c>
      <c r="L161" s="9" t="s">
        <v>1824</v>
      </c>
    </row>
    <row r="162" customFormat="false" ht="15" hidden="false" customHeight="false" outlineLevel="0" collapsed="false">
      <c r="A162" s="9" t="s">
        <v>234</v>
      </c>
      <c r="B162" s="6" t="s">
        <v>2741</v>
      </c>
      <c r="C162" s="6" t="s">
        <v>2594</v>
      </c>
      <c r="D162" s="6" t="s">
        <v>2733</v>
      </c>
      <c r="E162" s="6" t="s">
        <v>2667</v>
      </c>
      <c r="F162" s="10" t="n">
        <v>88939</v>
      </c>
      <c r="G162" s="10" t="n">
        <v>80</v>
      </c>
      <c r="H162" s="14" t="n">
        <v>0.14</v>
      </c>
      <c r="I162" s="9" t="s">
        <v>2742</v>
      </c>
      <c r="J162" s="6"/>
      <c r="K162" s="6" t="s">
        <v>2741</v>
      </c>
      <c r="L162" s="9" t="s">
        <v>1824</v>
      </c>
    </row>
    <row r="163" customFormat="false" ht="15" hidden="false" customHeight="false" outlineLevel="0" collapsed="false">
      <c r="A163" s="9" t="s">
        <v>234</v>
      </c>
      <c r="B163" s="6" t="s">
        <v>2741</v>
      </c>
      <c r="C163" s="6" t="s">
        <v>2594</v>
      </c>
      <c r="D163" s="6" t="s">
        <v>2733</v>
      </c>
      <c r="E163" s="6" t="s">
        <v>2672</v>
      </c>
      <c r="F163" s="10" t="n">
        <v>58143</v>
      </c>
      <c r="G163" s="10" t="n">
        <v>50</v>
      </c>
      <c r="H163" s="14" t="n">
        <v>0.09</v>
      </c>
      <c r="I163" s="9" t="s">
        <v>2745</v>
      </c>
      <c r="J163" s="6"/>
      <c r="K163" s="6" t="s">
        <v>2741</v>
      </c>
      <c r="L163" s="9" t="s">
        <v>1824</v>
      </c>
    </row>
    <row r="164" customFormat="false" ht="15" hidden="false" customHeight="false" outlineLevel="0" collapsed="false">
      <c r="A164" s="9" t="s">
        <v>234</v>
      </c>
      <c r="B164" s="6" t="s">
        <v>2741</v>
      </c>
      <c r="C164" s="6" t="s">
        <v>2594</v>
      </c>
      <c r="D164" s="6" t="s">
        <v>2733</v>
      </c>
      <c r="E164" s="9" t="s">
        <v>2684</v>
      </c>
      <c r="F164" s="10" t="n">
        <v>77459</v>
      </c>
      <c r="G164" s="10" t="n">
        <v>50</v>
      </c>
      <c r="H164" s="14" t="n">
        <v>0.12</v>
      </c>
      <c r="I164" s="9" t="s">
        <v>2424</v>
      </c>
      <c r="J164" s="6"/>
      <c r="K164" s="6" t="s">
        <v>2741</v>
      </c>
      <c r="L164" s="9" t="s">
        <v>1824</v>
      </c>
    </row>
    <row r="165" customFormat="false" ht="15" hidden="false" customHeight="false" outlineLevel="0" collapsed="false">
      <c r="A165" s="9" t="s">
        <v>234</v>
      </c>
      <c r="B165" s="6" t="s">
        <v>2746</v>
      </c>
      <c r="C165" s="6" t="s">
        <v>2594</v>
      </c>
      <c r="D165" s="6" t="s">
        <v>2733</v>
      </c>
      <c r="E165" s="6" t="s">
        <v>2626</v>
      </c>
      <c r="F165" s="10" t="n">
        <v>240000</v>
      </c>
      <c r="G165" s="10" t="n">
        <v>25</v>
      </c>
      <c r="H165" s="14" t="n">
        <v>0.37</v>
      </c>
      <c r="I165" s="9" t="s">
        <v>2747</v>
      </c>
      <c r="J165" s="6"/>
      <c r="K165" s="6" t="s">
        <v>2746</v>
      </c>
      <c r="L165" s="9" t="s">
        <v>1824</v>
      </c>
    </row>
    <row r="166" customFormat="false" ht="15" hidden="false" customHeight="false" outlineLevel="0" collapsed="false">
      <c r="A166" s="9" t="s">
        <v>234</v>
      </c>
      <c r="B166" s="6" t="s">
        <v>2746</v>
      </c>
      <c r="C166" s="6" t="s">
        <v>2594</v>
      </c>
      <c r="D166" s="6" t="s">
        <v>2733</v>
      </c>
      <c r="E166" s="6" t="s">
        <v>2748</v>
      </c>
      <c r="F166" s="10" t="n">
        <v>522293</v>
      </c>
      <c r="G166" s="10" t="n">
        <v>147</v>
      </c>
      <c r="H166" s="14" t="n">
        <v>0.8</v>
      </c>
      <c r="I166" s="9" t="s">
        <v>2749</v>
      </c>
      <c r="J166" s="6"/>
      <c r="K166" s="6" t="s">
        <v>2746</v>
      </c>
      <c r="L166" s="9" t="s">
        <v>1824</v>
      </c>
    </row>
    <row r="167" customFormat="false" ht="15" hidden="false" customHeight="false" outlineLevel="0" collapsed="false">
      <c r="A167" s="9" t="s">
        <v>234</v>
      </c>
      <c r="B167" s="6" t="s">
        <v>2746</v>
      </c>
      <c r="C167" s="6" t="s">
        <v>2594</v>
      </c>
      <c r="D167" s="6" t="s">
        <v>2733</v>
      </c>
      <c r="E167" s="6" t="s">
        <v>2750</v>
      </c>
      <c r="F167" s="10" t="n">
        <v>52558</v>
      </c>
      <c r="G167" s="10" t="n">
        <v>12</v>
      </c>
      <c r="H167" s="14" t="n">
        <v>0.08</v>
      </c>
      <c r="I167" s="9" t="s">
        <v>2751</v>
      </c>
      <c r="J167" s="6"/>
      <c r="K167" s="6" t="s">
        <v>2746</v>
      </c>
      <c r="L167" s="9" t="s">
        <v>1824</v>
      </c>
    </row>
    <row r="168" customFormat="false" ht="15" hidden="false" customHeight="false" outlineLevel="0" collapsed="false">
      <c r="A168" s="9" t="s">
        <v>234</v>
      </c>
      <c r="B168" s="6" t="s">
        <v>2732</v>
      </c>
      <c r="C168" s="6" t="s">
        <v>2604</v>
      </c>
      <c r="D168" s="6" t="s">
        <v>2733</v>
      </c>
      <c r="E168" s="6" t="s">
        <v>2626</v>
      </c>
      <c r="F168" s="10" t="n">
        <v>150000</v>
      </c>
      <c r="G168" s="10" t="n">
        <v>30</v>
      </c>
      <c r="H168" s="14" t="n">
        <v>0.23</v>
      </c>
      <c r="I168" s="9" t="s">
        <v>2734</v>
      </c>
      <c r="J168" s="6"/>
      <c r="K168" s="6" t="s">
        <v>2732</v>
      </c>
      <c r="L168" s="9" t="s">
        <v>2752</v>
      </c>
    </row>
    <row r="169" customFormat="false" ht="15" hidden="false" customHeight="false" outlineLevel="0" collapsed="false">
      <c r="A169" s="9" t="s">
        <v>234</v>
      </c>
      <c r="B169" s="6" t="s">
        <v>2732</v>
      </c>
      <c r="C169" s="6" t="s">
        <v>2604</v>
      </c>
      <c r="D169" s="6" t="s">
        <v>2733</v>
      </c>
      <c r="E169" s="6" t="s">
        <v>2626</v>
      </c>
      <c r="F169" s="10" t="n">
        <v>1000000</v>
      </c>
      <c r="G169" s="10" t="n">
        <v>207</v>
      </c>
      <c r="H169" s="14" t="n">
        <v>1.53</v>
      </c>
      <c r="I169" s="9" t="s">
        <v>2734</v>
      </c>
      <c r="J169" s="6"/>
      <c r="K169" s="6" t="s">
        <v>2732</v>
      </c>
      <c r="L169" s="9" t="s">
        <v>2752</v>
      </c>
    </row>
    <row r="170" customFormat="false" ht="15" hidden="false" customHeight="false" outlineLevel="0" collapsed="false">
      <c r="A170" s="9" t="s">
        <v>234</v>
      </c>
      <c r="B170" s="6" t="s">
        <v>2732</v>
      </c>
      <c r="C170" s="6" t="s">
        <v>2604</v>
      </c>
      <c r="D170" s="6" t="s">
        <v>2733</v>
      </c>
      <c r="E170" s="6" t="s">
        <v>2626</v>
      </c>
      <c r="F170" s="10" t="n">
        <v>560000</v>
      </c>
      <c r="G170" s="10" t="n">
        <v>100</v>
      </c>
      <c r="H170" s="14" t="n">
        <v>0.85</v>
      </c>
      <c r="I170" s="9" t="s">
        <v>2735</v>
      </c>
      <c r="J170" s="6"/>
      <c r="K170" s="6" t="s">
        <v>2732</v>
      </c>
      <c r="L170" s="9" t="s">
        <v>2752</v>
      </c>
    </row>
    <row r="171" customFormat="false" ht="15" hidden="false" customHeight="false" outlineLevel="0" collapsed="false">
      <c r="A171" s="9" t="s">
        <v>234</v>
      </c>
      <c r="B171" s="6" t="s">
        <v>2732</v>
      </c>
      <c r="C171" s="6" t="s">
        <v>2604</v>
      </c>
      <c r="D171" s="6" t="s">
        <v>2733</v>
      </c>
      <c r="E171" s="6" t="s">
        <v>2736</v>
      </c>
      <c r="F171" s="10" t="n">
        <v>672000</v>
      </c>
      <c r="G171" s="10" t="n">
        <v>120</v>
      </c>
      <c r="H171" s="14" t="n">
        <v>1.03</v>
      </c>
      <c r="I171" s="9" t="s">
        <v>2737</v>
      </c>
      <c r="J171" s="6"/>
      <c r="K171" s="6" t="s">
        <v>2732</v>
      </c>
      <c r="L171" s="9" t="s">
        <v>2752</v>
      </c>
    </row>
    <row r="172" customFormat="false" ht="15" hidden="false" customHeight="false" outlineLevel="0" collapsed="false">
      <c r="A172" s="9" t="s">
        <v>234</v>
      </c>
      <c r="B172" s="6" t="s">
        <v>2732</v>
      </c>
      <c r="C172" s="6" t="s">
        <v>2604</v>
      </c>
      <c r="D172" s="6" t="s">
        <v>2733</v>
      </c>
      <c r="E172" s="6" t="s">
        <v>2738</v>
      </c>
      <c r="F172" s="10" t="n">
        <v>226500</v>
      </c>
      <c r="G172" s="10"/>
      <c r="H172" s="14" t="n">
        <v>0.35</v>
      </c>
      <c r="I172" s="9" t="s">
        <v>2739</v>
      </c>
      <c r="J172" s="6"/>
      <c r="K172" s="6"/>
      <c r="L172" s="9" t="s">
        <v>2752</v>
      </c>
    </row>
    <row r="173" customFormat="false" ht="15" hidden="false" customHeight="false" outlineLevel="0" collapsed="false">
      <c r="A173" s="9" t="s">
        <v>234</v>
      </c>
      <c r="B173" s="6" t="s">
        <v>2732</v>
      </c>
      <c r="C173" s="6" t="s">
        <v>2604</v>
      </c>
      <c r="D173" s="6" t="s">
        <v>2733</v>
      </c>
      <c r="E173" s="6" t="s">
        <v>2665</v>
      </c>
      <c r="F173" s="10" t="n">
        <v>1600000</v>
      </c>
      <c r="G173" s="10" t="n">
        <v>300</v>
      </c>
      <c r="H173" s="14" t="n">
        <v>2.44</v>
      </c>
      <c r="I173" s="9" t="s">
        <v>2740</v>
      </c>
      <c r="J173" s="6"/>
      <c r="K173" s="6" t="s">
        <v>2732</v>
      </c>
      <c r="L173" s="9" t="s">
        <v>2752</v>
      </c>
    </row>
    <row r="174" customFormat="false" ht="15" hidden="false" customHeight="false" outlineLevel="0" collapsed="false">
      <c r="A174" s="9" t="s">
        <v>234</v>
      </c>
      <c r="B174" s="6" t="s">
        <v>2741</v>
      </c>
      <c r="C174" s="6" t="s">
        <v>2594</v>
      </c>
      <c r="D174" s="6" t="s">
        <v>2733</v>
      </c>
      <c r="E174" s="6" t="s">
        <v>2667</v>
      </c>
      <c r="F174" s="10" t="n">
        <v>35718</v>
      </c>
      <c r="G174" s="10" t="n">
        <v>10</v>
      </c>
      <c r="H174" s="14" t="n">
        <v>0.05</v>
      </c>
      <c r="I174" s="9" t="s">
        <v>2742</v>
      </c>
      <c r="J174" s="6"/>
      <c r="K174" s="6" t="s">
        <v>2741</v>
      </c>
      <c r="L174" s="9" t="s">
        <v>2752</v>
      </c>
    </row>
    <row r="175" customFormat="false" ht="15" hidden="false" customHeight="false" outlineLevel="0" collapsed="false">
      <c r="A175" s="9" t="s">
        <v>234</v>
      </c>
      <c r="B175" s="6" t="s">
        <v>2741</v>
      </c>
      <c r="C175" s="6" t="s">
        <v>2594</v>
      </c>
      <c r="D175" s="6" t="s">
        <v>2733</v>
      </c>
      <c r="E175" s="6" t="s">
        <v>2665</v>
      </c>
      <c r="F175" s="10" t="n">
        <v>1300000</v>
      </c>
      <c r="G175" s="10" t="n">
        <v>170</v>
      </c>
      <c r="H175" s="14" t="n">
        <v>1.98</v>
      </c>
      <c r="I175" s="9" t="s">
        <v>2743</v>
      </c>
      <c r="J175" s="6"/>
      <c r="K175" s="6" t="s">
        <v>2741</v>
      </c>
      <c r="L175" s="9" t="s">
        <v>2752</v>
      </c>
    </row>
    <row r="176" customFormat="false" ht="15" hidden="false" customHeight="false" outlineLevel="0" collapsed="false">
      <c r="A176" s="9" t="s">
        <v>234</v>
      </c>
      <c r="B176" s="6" t="s">
        <v>2741</v>
      </c>
      <c r="C176" s="6" t="s">
        <v>2594</v>
      </c>
      <c r="D176" s="6" t="s">
        <v>2733</v>
      </c>
      <c r="E176" s="6" t="s">
        <v>2674</v>
      </c>
      <c r="F176" s="10" t="n">
        <v>70248</v>
      </c>
      <c r="G176" s="10" t="n">
        <v>50</v>
      </c>
      <c r="H176" s="14" t="n">
        <v>0.11</v>
      </c>
      <c r="I176" s="9" t="s">
        <v>2744</v>
      </c>
      <c r="J176" s="6"/>
      <c r="K176" s="6" t="s">
        <v>2741</v>
      </c>
      <c r="L176" s="9" t="s">
        <v>2752</v>
      </c>
    </row>
    <row r="177" customFormat="false" ht="15" hidden="false" customHeight="false" outlineLevel="0" collapsed="false">
      <c r="A177" s="9" t="s">
        <v>234</v>
      </c>
      <c r="B177" s="6" t="s">
        <v>2741</v>
      </c>
      <c r="C177" s="6" t="s">
        <v>2594</v>
      </c>
      <c r="D177" s="6" t="s">
        <v>2733</v>
      </c>
      <c r="E177" s="6" t="s">
        <v>2672</v>
      </c>
      <c r="F177" s="10" t="n">
        <v>82009</v>
      </c>
      <c r="G177" s="10" t="n">
        <v>50</v>
      </c>
      <c r="H177" s="14" t="n">
        <v>0.13</v>
      </c>
      <c r="I177" s="9" t="s">
        <v>2655</v>
      </c>
      <c r="J177" s="6"/>
      <c r="K177" s="6" t="s">
        <v>2741</v>
      </c>
      <c r="L177" s="9" t="s">
        <v>2752</v>
      </c>
    </row>
    <row r="178" customFormat="false" ht="15" hidden="false" customHeight="false" outlineLevel="0" collapsed="false">
      <c r="A178" s="9" t="s">
        <v>234</v>
      </c>
      <c r="B178" s="6" t="s">
        <v>2741</v>
      </c>
      <c r="C178" s="6" t="s">
        <v>2594</v>
      </c>
      <c r="D178" s="6" t="s">
        <v>2733</v>
      </c>
      <c r="E178" s="6" t="s">
        <v>2667</v>
      </c>
      <c r="F178" s="10" t="n">
        <v>88939</v>
      </c>
      <c r="G178" s="10" t="n">
        <v>80</v>
      </c>
      <c r="H178" s="14" t="n">
        <v>0.14</v>
      </c>
      <c r="I178" s="9" t="s">
        <v>2742</v>
      </c>
      <c r="J178" s="6"/>
      <c r="K178" s="6" t="s">
        <v>2741</v>
      </c>
      <c r="L178" s="9" t="s">
        <v>2752</v>
      </c>
    </row>
    <row r="179" customFormat="false" ht="15" hidden="false" customHeight="false" outlineLevel="0" collapsed="false">
      <c r="A179" s="9" t="s">
        <v>234</v>
      </c>
      <c r="B179" s="6" t="s">
        <v>2741</v>
      </c>
      <c r="C179" s="6" t="s">
        <v>2594</v>
      </c>
      <c r="D179" s="6" t="s">
        <v>2733</v>
      </c>
      <c r="E179" s="6" t="s">
        <v>2672</v>
      </c>
      <c r="F179" s="10" t="n">
        <v>58143</v>
      </c>
      <c r="G179" s="10" t="n">
        <v>50</v>
      </c>
      <c r="H179" s="14" t="n">
        <v>0.09</v>
      </c>
      <c r="I179" s="9" t="s">
        <v>2745</v>
      </c>
      <c r="J179" s="6"/>
      <c r="K179" s="6" t="s">
        <v>2741</v>
      </c>
      <c r="L179" s="9" t="s">
        <v>2752</v>
      </c>
    </row>
    <row r="180" customFormat="false" ht="15" hidden="false" customHeight="false" outlineLevel="0" collapsed="false">
      <c r="A180" s="9" t="s">
        <v>234</v>
      </c>
      <c r="B180" s="6" t="s">
        <v>2741</v>
      </c>
      <c r="C180" s="6" t="s">
        <v>2594</v>
      </c>
      <c r="D180" s="6" t="s">
        <v>2733</v>
      </c>
      <c r="E180" s="9" t="s">
        <v>2684</v>
      </c>
      <c r="F180" s="10" t="n">
        <v>77459</v>
      </c>
      <c r="G180" s="10" t="n">
        <v>50</v>
      </c>
      <c r="H180" s="14" t="n">
        <v>0.12</v>
      </c>
      <c r="I180" s="9" t="s">
        <v>2424</v>
      </c>
      <c r="J180" s="6"/>
      <c r="K180" s="6" t="s">
        <v>2741</v>
      </c>
      <c r="L180" s="9" t="s">
        <v>2752</v>
      </c>
    </row>
    <row r="181" customFormat="false" ht="15" hidden="false" customHeight="false" outlineLevel="0" collapsed="false">
      <c r="A181" s="9" t="s">
        <v>234</v>
      </c>
      <c r="B181" s="6" t="s">
        <v>2746</v>
      </c>
      <c r="C181" s="6" t="s">
        <v>2594</v>
      </c>
      <c r="D181" s="6" t="s">
        <v>2733</v>
      </c>
      <c r="E181" s="6" t="s">
        <v>2626</v>
      </c>
      <c r="F181" s="10" t="n">
        <v>240000</v>
      </c>
      <c r="G181" s="10" t="n">
        <v>55</v>
      </c>
      <c r="H181" s="14" t="n">
        <v>0.37</v>
      </c>
      <c r="I181" s="9" t="s">
        <v>2510</v>
      </c>
      <c r="J181" s="6"/>
      <c r="K181" s="6" t="s">
        <v>2746</v>
      </c>
      <c r="L181" s="9" t="s">
        <v>2752</v>
      </c>
    </row>
    <row r="182" customFormat="false" ht="15" hidden="false" customHeight="false" outlineLevel="0" collapsed="false">
      <c r="A182" s="9" t="s">
        <v>234</v>
      </c>
      <c r="B182" s="6" t="s">
        <v>2746</v>
      </c>
      <c r="C182" s="6" t="s">
        <v>2594</v>
      </c>
      <c r="D182" s="6" t="s">
        <v>2733</v>
      </c>
      <c r="E182" s="6" t="s">
        <v>2748</v>
      </c>
      <c r="F182" s="10" t="n">
        <v>522293</v>
      </c>
      <c r="G182" s="10" t="n">
        <v>147</v>
      </c>
      <c r="H182" s="14" t="n">
        <v>0.8</v>
      </c>
      <c r="I182" s="9" t="s">
        <v>2749</v>
      </c>
      <c r="J182" s="6"/>
      <c r="K182" s="6" t="s">
        <v>2746</v>
      </c>
      <c r="L182" s="9" t="s">
        <v>2752</v>
      </c>
    </row>
    <row r="183" customFormat="false" ht="15" hidden="false" customHeight="false" outlineLevel="0" collapsed="false">
      <c r="A183" s="9" t="s">
        <v>234</v>
      </c>
      <c r="B183" s="6" t="s">
        <v>2746</v>
      </c>
      <c r="C183" s="6" t="s">
        <v>2594</v>
      </c>
      <c r="D183" s="6" t="s">
        <v>2733</v>
      </c>
      <c r="E183" s="6" t="s">
        <v>2750</v>
      </c>
      <c r="F183" s="10" t="n">
        <v>52558</v>
      </c>
      <c r="G183" s="10" t="n">
        <v>12</v>
      </c>
      <c r="H183" s="14" t="n">
        <v>0.08</v>
      </c>
      <c r="I183" s="9" t="s">
        <v>2753</v>
      </c>
      <c r="J183" s="6"/>
      <c r="K183" s="6" t="s">
        <v>2746</v>
      </c>
      <c r="L183" s="9" t="s">
        <v>2752</v>
      </c>
    </row>
    <row r="184" customFormat="false" ht="15" hidden="false" customHeight="false" outlineLevel="0" collapsed="false">
      <c r="A184" s="6" t="s">
        <v>185</v>
      </c>
      <c r="B184" s="9" t="s">
        <v>2754</v>
      </c>
      <c r="C184" s="6" t="s">
        <v>2604</v>
      </c>
      <c r="D184" s="6" t="s">
        <v>2641</v>
      </c>
      <c r="E184" s="9" t="s">
        <v>2755</v>
      </c>
      <c r="F184" s="10" t="n">
        <v>5000000</v>
      </c>
      <c r="G184" s="10" t="n">
        <v>2790</v>
      </c>
      <c r="H184" s="14" t="n">
        <v>0.78</v>
      </c>
      <c r="I184" s="9" t="s">
        <v>2510</v>
      </c>
      <c r="J184" s="9" t="s">
        <v>2756</v>
      </c>
      <c r="K184" s="9" t="s">
        <v>2645</v>
      </c>
      <c r="L184" s="9" t="s">
        <v>1793</v>
      </c>
    </row>
    <row r="185" customFormat="false" ht="15" hidden="false" customHeight="false" outlineLevel="0" collapsed="false">
      <c r="A185" s="6" t="s">
        <v>185</v>
      </c>
      <c r="B185" s="9" t="s">
        <v>2754</v>
      </c>
      <c r="C185" s="6" t="s">
        <v>2604</v>
      </c>
      <c r="D185" s="6" t="s">
        <v>2641</v>
      </c>
      <c r="E185" s="6" t="s">
        <v>2654</v>
      </c>
      <c r="F185" s="10" t="n">
        <v>2000000</v>
      </c>
      <c r="G185" s="10" t="n">
        <v>500</v>
      </c>
      <c r="H185" s="14" t="n">
        <v>0.31</v>
      </c>
      <c r="I185" s="9" t="s">
        <v>2757</v>
      </c>
      <c r="J185" s="9" t="s">
        <v>2366</v>
      </c>
      <c r="K185" s="9" t="s">
        <v>2645</v>
      </c>
      <c r="L185" s="9" t="s">
        <v>1793</v>
      </c>
    </row>
    <row r="186" customFormat="false" ht="15" hidden="false" customHeight="false" outlineLevel="0" collapsed="false">
      <c r="A186" s="6" t="s">
        <v>185</v>
      </c>
      <c r="B186" s="9" t="s">
        <v>2754</v>
      </c>
      <c r="C186" s="6" t="s">
        <v>2604</v>
      </c>
      <c r="D186" s="6" t="s">
        <v>2641</v>
      </c>
      <c r="E186" s="9" t="s">
        <v>2755</v>
      </c>
      <c r="F186" s="10" t="n">
        <v>6000000</v>
      </c>
      <c r="G186" s="10" t="n">
        <v>2000</v>
      </c>
      <c r="H186" s="14" t="n">
        <v>0.94</v>
      </c>
      <c r="I186" s="9" t="s">
        <v>2515</v>
      </c>
      <c r="J186" s="9" t="s">
        <v>2758</v>
      </c>
      <c r="K186" s="9" t="s">
        <v>2645</v>
      </c>
      <c r="L186" s="9" t="s">
        <v>1793</v>
      </c>
    </row>
    <row r="187" customFormat="false" ht="15" hidden="false" customHeight="false" outlineLevel="0" collapsed="false">
      <c r="A187" s="6" t="s">
        <v>185</v>
      </c>
      <c r="B187" s="9" t="s">
        <v>2754</v>
      </c>
      <c r="C187" s="6" t="s">
        <v>2604</v>
      </c>
      <c r="D187" s="6" t="s">
        <v>2641</v>
      </c>
      <c r="E187" s="9" t="s">
        <v>2759</v>
      </c>
      <c r="F187" s="10" t="n">
        <v>4000000</v>
      </c>
      <c r="G187" s="10" t="n">
        <v>1000</v>
      </c>
      <c r="H187" s="14" t="n">
        <v>0.62</v>
      </c>
      <c r="I187" s="9" t="s">
        <v>2328</v>
      </c>
      <c r="J187" s="9" t="s">
        <v>2760</v>
      </c>
      <c r="K187" s="9" t="s">
        <v>2645</v>
      </c>
      <c r="L187" s="9" t="s">
        <v>1793</v>
      </c>
    </row>
    <row r="188" customFormat="false" ht="15" hidden="false" customHeight="false" outlineLevel="0" collapsed="false">
      <c r="A188" s="6" t="s">
        <v>185</v>
      </c>
      <c r="B188" s="9" t="s">
        <v>2754</v>
      </c>
      <c r="C188" s="6" t="s">
        <v>2604</v>
      </c>
      <c r="D188" s="6" t="s">
        <v>2641</v>
      </c>
      <c r="E188" s="9" t="s">
        <v>2761</v>
      </c>
      <c r="F188" s="10" t="n">
        <v>921461</v>
      </c>
      <c r="G188" s="10" t="n">
        <v>600</v>
      </c>
      <c r="H188" s="14" t="n">
        <v>0.14</v>
      </c>
      <c r="I188" s="9" t="s">
        <v>2400</v>
      </c>
      <c r="J188" s="9" t="s">
        <v>2762</v>
      </c>
      <c r="K188" s="9" t="s">
        <v>2645</v>
      </c>
      <c r="L188" s="9" t="s">
        <v>1793</v>
      </c>
    </row>
    <row r="189" customFormat="false" ht="15" hidden="false" customHeight="false" outlineLevel="0" collapsed="false">
      <c r="A189" s="6" t="s">
        <v>185</v>
      </c>
      <c r="B189" s="9" t="s">
        <v>2754</v>
      </c>
      <c r="C189" s="6" t="s">
        <v>2604</v>
      </c>
      <c r="D189" s="6" t="s">
        <v>2641</v>
      </c>
      <c r="E189" s="9" t="s">
        <v>2755</v>
      </c>
      <c r="F189" s="10" t="n">
        <v>8640000</v>
      </c>
      <c r="G189" s="10" t="n">
        <v>1500</v>
      </c>
      <c r="H189" s="14" t="n">
        <v>1.35</v>
      </c>
      <c r="I189" s="9" t="s">
        <v>2763</v>
      </c>
      <c r="J189" s="9" t="s">
        <v>1791</v>
      </c>
      <c r="K189" s="6" t="s">
        <v>2764</v>
      </c>
      <c r="L189" s="9" t="s">
        <v>1793</v>
      </c>
    </row>
    <row r="190" customFormat="false" ht="15" hidden="false" customHeight="false" outlineLevel="0" collapsed="false">
      <c r="A190" s="6" t="s">
        <v>185</v>
      </c>
      <c r="B190" s="9" t="s">
        <v>2754</v>
      </c>
      <c r="C190" s="6" t="s">
        <v>2604</v>
      </c>
      <c r="D190" s="6" t="s">
        <v>2641</v>
      </c>
      <c r="E190" s="9" t="s">
        <v>2755</v>
      </c>
      <c r="F190" s="10" t="n">
        <v>4830000</v>
      </c>
      <c r="G190" s="10" t="n">
        <v>544</v>
      </c>
      <c r="H190" s="14" t="n">
        <v>0.75</v>
      </c>
      <c r="I190" s="9" t="s">
        <v>2763</v>
      </c>
      <c r="J190" s="9" t="s">
        <v>2765</v>
      </c>
      <c r="K190" s="6" t="s">
        <v>2764</v>
      </c>
      <c r="L190" s="9" t="s">
        <v>1793</v>
      </c>
    </row>
    <row r="191" customFormat="false" ht="15" hidden="false" customHeight="false" outlineLevel="0" collapsed="false">
      <c r="A191" s="6" t="s">
        <v>185</v>
      </c>
      <c r="B191" s="9" t="s">
        <v>2754</v>
      </c>
      <c r="C191" s="6" t="s">
        <v>2604</v>
      </c>
      <c r="D191" s="6" t="s">
        <v>2641</v>
      </c>
      <c r="E191" s="9" t="s">
        <v>2759</v>
      </c>
      <c r="F191" s="10" t="n">
        <v>900000</v>
      </c>
      <c r="G191" s="10" t="n">
        <v>300</v>
      </c>
      <c r="H191" s="14" t="n">
        <v>0.14</v>
      </c>
      <c r="I191" s="9" t="s">
        <v>2763</v>
      </c>
      <c r="J191" s="9" t="s">
        <v>1791</v>
      </c>
      <c r="K191" s="6" t="s">
        <v>2764</v>
      </c>
      <c r="L191" s="9" t="s">
        <v>1793</v>
      </c>
    </row>
    <row r="192" customFormat="false" ht="15" hidden="false" customHeight="false" outlineLevel="0" collapsed="false">
      <c r="A192" s="6" t="s">
        <v>185</v>
      </c>
      <c r="B192" s="9" t="s">
        <v>2754</v>
      </c>
      <c r="C192" s="6" t="s">
        <v>2604</v>
      </c>
      <c r="D192" s="6" t="s">
        <v>2641</v>
      </c>
      <c r="E192" s="9" t="s">
        <v>2766</v>
      </c>
      <c r="F192" s="10" t="n">
        <v>1400000</v>
      </c>
      <c r="G192" s="10" t="n">
        <v>400</v>
      </c>
      <c r="H192" s="14" t="n">
        <v>0.22</v>
      </c>
      <c r="I192" s="9" t="s">
        <v>2767</v>
      </c>
      <c r="J192" s="9" t="s">
        <v>2768</v>
      </c>
      <c r="K192" s="9" t="s">
        <v>2645</v>
      </c>
      <c r="L192" s="9" t="s">
        <v>1793</v>
      </c>
    </row>
    <row r="193" customFormat="false" ht="15" hidden="false" customHeight="false" outlineLevel="0" collapsed="false">
      <c r="A193" s="6" t="s">
        <v>185</v>
      </c>
      <c r="B193" s="9" t="s">
        <v>2754</v>
      </c>
      <c r="C193" s="6" t="s">
        <v>2604</v>
      </c>
      <c r="D193" s="6" t="s">
        <v>2641</v>
      </c>
      <c r="E193" s="9" t="s">
        <v>2755</v>
      </c>
      <c r="F193" s="10" t="n">
        <v>2500000</v>
      </c>
      <c r="G193" s="10" t="n">
        <v>1200</v>
      </c>
      <c r="H193" s="14" t="n">
        <v>0.39</v>
      </c>
      <c r="I193" s="9" t="s">
        <v>2753</v>
      </c>
      <c r="J193" s="9" t="s">
        <v>2769</v>
      </c>
      <c r="K193" s="9" t="s">
        <v>2645</v>
      </c>
      <c r="L193" s="9" t="s">
        <v>1793</v>
      </c>
    </row>
    <row r="194" customFormat="false" ht="15" hidden="false" customHeight="false" outlineLevel="0" collapsed="false">
      <c r="A194" s="6" t="s">
        <v>185</v>
      </c>
      <c r="B194" s="9" t="s">
        <v>2754</v>
      </c>
      <c r="C194" s="6" t="s">
        <v>2604</v>
      </c>
      <c r="D194" s="6" t="s">
        <v>2641</v>
      </c>
      <c r="E194" s="9" t="s">
        <v>2759</v>
      </c>
      <c r="F194" s="10" t="n">
        <v>9000000</v>
      </c>
      <c r="G194" s="10" t="n">
        <v>1550</v>
      </c>
      <c r="H194" s="14" t="n">
        <v>1.41</v>
      </c>
      <c r="I194" s="9" t="s">
        <v>2770</v>
      </c>
      <c r="J194" s="9" t="s">
        <v>2771</v>
      </c>
      <c r="K194" s="9" t="s">
        <v>2645</v>
      </c>
      <c r="L194" s="9" t="s">
        <v>1793</v>
      </c>
    </row>
    <row r="195" customFormat="false" ht="15" hidden="false" customHeight="false" outlineLevel="0" collapsed="false">
      <c r="A195" s="6" t="s">
        <v>185</v>
      </c>
      <c r="B195" s="9" t="s">
        <v>2754</v>
      </c>
      <c r="C195" s="6" t="s">
        <v>2604</v>
      </c>
      <c r="D195" s="6" t="s">
        <v>2641</v>
      </c>
      <c r="E195" s="9" t="s">
        <v>2761</v>
      </c>
      <c r="F195" s="10" t="n">
        <v>805889</v>
      </c>
      <c r="G195" s="10" t="n">
        <v>450</v>
      </c>
      <c r="H195" s="14" t="n">
        <v>0.13</v>
      </c>
      <c r="I195" s="9" t="s">
        <v>2767</v>
      </c>
      <c r="J195" s="9" t="s">
        <v>2768</v>
      </c>
      <c r="K195" s="9" t="s">
        <v>2645</v>
      </c>
      <c r="L195" s="9" t="s">
        <v>1793</v>
      </c>
    </row>
    <row r="196" customFormat="false" ht="15" hidden="false" customHeight="false" outlineLevel="0" collapsed="false">
      <c r="A196" s="6" t="s">
        <v>185</v>
      </c>
      <c r="B196" s="9" t="s">
        <v>2754</v>
      </c>
      <c r="C196" s="6" t="s">
        <v>2604</v>
      </c>
      <c r="D196" s="6" t="s">
        <v>2641</v>
      </c>
      <c r="E196" s="6" t="s">
        <v>2772</v>
      </c>
      <c r="F196" s="10" t="n">
        <v>2170694</v>
      </c>
      <c r="G196" s="10" t="n">
        <v>850</v>
      </c>
      <c r="H196" s="14" t="n">
        <v>0.34</v>
      </c>
      <c r="I196" s="9" t="s">
        <v>2333</v>
      </c>
      <c r="J196" s="9" t="s">
        <v>2773</v>
      </c>
      <c r="K196" s="9" t="s">
        <v>2645</v>
      </c>
      <c r="L196" s="9" t="s">
        <v>1793</v>
      </c>
    </row>
    <row r="197" customFormat="false" ht="15" hidden="false" customHeight="false" outlineLevel="0" collapsed="false">
      <c r="A197" s="6" t="s">
        <v>185</v>
      </c>
      <c r="B197" s="9" t="s">
        <v>2754</v>
      </c>
      <c r="C197" s="6" t="s">
        <v>2604</v>
      </c>
      <c r="D197" s="6" t="s">
        <v>2641</v>
      </c>
      <c r="E197" s="9" t="s">
        <v>2755</v>
      </c>
      <c r="F197" s="10" t="n">
        <v>5000000</v>
      </c>
      <c r="G197" s="10" t="n">
        <v>2790</v>
      </c>
      <c r="H197" s="14" t="n">
        <v>0.78</v>
      </c>
      <c r="I197" s="9" t="s">
        <v>2510</v>
      </c>
      <c r="J197" s="9" t="s">
        <v>2756</v>
      </c>
      <c r="K197" s="9" t="s">
        <v>2645</v>
      </c>
      <c r="L197" s="9" t="s">
        <v>2774</v>
      </c>
    </row>
    <row r="198" customFormat="false" ht="15" hidden="false" customHeight="false" outlineLevel="0" collapsed="false">
      <c r="A198" s="6" t="s">
        <v>185</v>
      </c>
      <c r="B198" s="9" t="s">
        <v>2754</v>
      </c>
      <c r="C198" s="6" t="s">
        <v>2604</v>
      </c>
      <c r="D198" s="6" t="s">
        <v>2641</v>
      </c>
      <c r="E198" s="6" t="s">
        <v>2654</v>
      </c>
      <c r="F198" s="10" t="n">
        <v>2000000</v>
      </c>
      <c r="G198" s="10" t="n">
        <v>500</v>
      </c>
      <c r="H198" s="14" t="n">
        <v>0.31</v>
      </c>
      <c r="I198" s="9" t="s">
        <v>2757</v>
      </c>
      <c r="J198" s="9" t="s">
        <v>2366</v>
      </c>
      <c r="K198" s="9" t="s">
        <v>2645</v>
      </c>
      <c r="L198" s="9" t="s">
        <v>2774</v>
      </c>
    </row>
    <row r="199" customFormat="false" ht="15" hidden="false" customHeight="false" outlineLevel="0" collapsed="false">
      <c r="A199" s="6" t="s">
        <v>185</v>
      </c>
      <c r="B199" s="9" t="s">
        <v>2754</v>
      </c>
      <c r="C199" s="6" t="s">
        <v>2604</v>
      </c>
      <c r="D199" s="6" t="s">
        <v>2641</v>
      </c>
      <c r="E199" s="9" t="s">
        <v>2755</v>
      </c>
      <c r="F199" s="10" t="n">
        <v>6000000</v>
      </c>
      <c r="G199" s="10" t="n">
        <v>2000</v>
      </c>
      <c r="H199" s="14" t="n">
        <v>0.94</v>
      </c>
      <c r="I199" s="9" t="s">
        <v>2515</v>
      </c>
      <c r="J199" s="9" t="s">
        <v>2758</v>
      </c>
      <c r="K199" s="9" t="s">
        <v>2645</v>
      </c>
      <c r="L199" s="9" t="s">
        <v>2774</v>
      </c>
    </row>
    <row r="200" customFormat="false" ht="15" hidden="false" customHeight="false" outlineLevel="0" collapsed="false">
      <c r="A200" s="6" t="s">
        <v>185</v>
      </c>
      <c r="B200" s="9" t="s">
        <v>2754</v>
      </c>
      <c r="C200" s="6" t="s">
        <v>2604</v>
      </c>
      <c r="D200" s="6" t="s">
        <v>2641</v>
      </c>
      <c r="E200" s="9" t="s">
        <v>2759</v>
      </c>
      <c r="F200" s="10" t="n">
        <v>4000000</v>
      </c>
      <c r="G200" s="10" t="n">
        <v>1000</v>
      </c>
      <c r="H200" s="14" t="n">
        <v>0.62</v>
      </c>
      <c r="I200" s="9" t="s">
        <v>2328</v>
      </c>
      <c r="J200" s="9" t="s">
        <v>2760</v>
      </c>
      <c r="K200" s="9" t="s">
        <v>2645</v>
      </c>
      <c r="L200" s="9" t="s">
        <v>2774</v>
      </c>
    </row>
    <row r="201" customFormat="false" ht="15" hidden="false" customHeight="false" outlineLevel="0" collapsed="false">
      <c r="A201" s="6" t="s">
        <v>185</v>
      </c>
      <c r="B201" s="9" t="s">
        <v>2754</v>
      </c>
      <c r="C201" s="6" t="s">
        <v>2604</v>
      </c>
      <c r="D201" s="6" t="s">
        <v>2641</v>
      </c>
      <c r="E201" s="9" t="s">
        <v>2761</v>
      </c>
      <c r="F201" s="10" t="n">
        <v>921461</v>
      </c>
      <c r="G201" s="10" t="n">
        <v>600</v>
      </c>
      <c r="H201" s="14" t="n">
        <v>0.14</v>
      </c>
      <c r="I201" s="9" t="s">
        <v>2400</v>
      </c>
      <c r="J201" s="9" t="s">
        <v>2762</v>
      </c>
      <c r="K201" s="9" t="s">
        <v>2645</v>
      </c>
      <c r="L201" s="9" t="s">
        <v>2774</v>
      </c>
    </row>
    <row r="202" customFormat="false" ht="15" hidden="false" customHeight="false" outlineLevel="0" collapsed="false">
      <c r="A202" s="6" t="s">
        <v>185</v>
      </c>
      <c r="B202" s="9" t="s">
        <v>2754</v>
      </c>
      <c r="C202" s="6" t="s">
        <v>2604</v>
      </c>
      <c r="D202" s="6" t="s">
        <v>2641</v>
      </c>
      <c r="E202" s="9" t="s">
        <v>2755</v>
      </c>
      <c r="F202" s="10" t="n">
        <v>8640000</v>
      </c>
      <c r="G202" s="10" t="n">
        <v>1500</v>
      </c>
      <c r="H202" s="14" t="n">
        <v>1.35</v>
      </c>
      <c r="I202" s="9" t="s">
        <v>2763</v>
      </c>
      <c r="J202" s="9" t="s">
        <v>1791</v>
      </c>
      <c r="K202" s="6" t="s">
        <v>2764</v>
      </c>
      <c r="L202" s="9" t="s">
        <v>2774</v>
      </c>
    </row>
    <row r="203" customFormat="false" ht="15" hidden="false" customHeight="false" outlineLevel="0" collapsed="false">
      <c r="A203" s="6" t="s">
        <v>185</v>
      </c>
      <c r="B203" s="9" t="s">
        <v>2754</v>
      </c>
      <c r="C203" s="6" t="s">
        <v>2604</v>
      </c>
      <c r="D203" s="6" t="s">
        <v>2641</v>
      </c>
      <c r="E203" s="9" t="s">
        <v>2755</v>
      </c>
      <c r="F203" s="10" t="n">
        <v>4830000</v>
      </c>
      <c r="G203" s="10" t="n">
        <v>544</v>
      </c>
      <c r="H203" s="14" t="n">
        <v>0.75</v>
      </c>
      <c r="I203" s="9" t="s">
        <v>2763</v>
      </c>
      <c r="J203" s="9" t="s">
        <v>2765</v>
      </c>
      <c r="K203" s="6" t="s">
        <v>2764</v>
      </c>
      <c r="L203" s="9" t="s">
        <v>2774</v>
      </c>
    </row>
    <row r="204" customFormat="false" ht="15" hidden="false" customHeight="false" outlineLevel="0" collapsed="false">
      <c r="A204" s="6" t="s">
        <v>185</v>
      </c>
      <c r="B204" s="9" t="s">
        <v>2754</v>
      </c>
      <c r="C204" s="6" t="s">
        <v>2604</v>
      </c>
      <c r="D204" s="6" t="s">
        <v>2641</v>
      </c>
      <c r="E204" s="9" t="s">
        <v>2759</v>
      </c>
      <c r="F204" s="10" t="n">
        <v>900000</v>
      </c>
      <c r="G204" s="10" t="n">
        <v>300</v>
      </c>
      <c r="H204" s="14" t="n">
        <v>0.14</v>
      </c>
      <c r="I204" s="9" t="s">
        <v>2763</v>
      </c>
      <c r="J204" s="9" t="s">
        <v>1791</v>
      </c>
      <c r="K204" s="6" t="s">
        <v>2764</v>
      </c>
      <c r="L204" s="9" t="s">
        <v>2774</v>
      </c>
    </row>
    <row r="205" customFormat="false" ht="15" hidden="false" customHeight="false" outlineLevel="0" collapsed="false">
      <c r="A205" s="6" t="s">
        <v>185</v>
      </c>
      <c r="B205" s="9" t="s">
        <v>2754</v>
      </c>
      <c r="C205" s="6" t="s">
        <v>2604</v>
      </c>
      <c r="D205" s="6" t="s">
        <v>2641</v>
      </c>
      <c r="E205" s="9" t="s">
        <v>2766</v>
      </c>
      <c r="F205" s="10" t="n">
        <v>1400000</v>
      </c>
      <c r="G205" s="10" t="n">
        <v>400</v>
      </c>
      <c r="H205" s="14" t="n">
        <v>0.22</v>
      </c>
      <c r="I205" s="9" t="s">
        <v>2767</v>
      </c>
      <c r="J205" s="9" t="s">
        <v>2768</v>
      </c>
      <c r="K205" s="9" t="s">
        <v>2645</v>
      </c>
      <c r="L205" s="9" t="s">
        <v>2774</v>
      </c>
    </row>
    <row r="206" customFormat="false" ht="15" hidden="false" customHeight="false" outlineLevel="0" collapsed="false">
      <c r="A206" s="6" t="s">
        <v>185</v>
      </c>
      <c r="B206" s="9" t="s">
        <v>2754</v>
      </c>
      <c r="C206" s="6" t="s">
        <v>2604</v>
      </c>
      <c r="D206" s="6" t="s">
        <v>2641</v>
      </c>
      <c r="E206" s="9" t="s">
        <v>2755</v>
      </c>
      <c r="F206" s="10" t="n">
        <v>2500000</v>
      </c>
      <c r="G206" s="10" t="n">
        <v>1200</v>
      </c>
      <c r="H206" s="14" t="n">
        <v>0.39</v>
      </c>
      <c r="I206" s="9" t="s">
        <v>2753</v>
      </c>
      <c r="J206" s="9" t="s">
        <v>2769</v>
      </c>
      <c r="K206" s="9" t="s">
        <v>2645</v>
      </c>
      <c r="L206" s="9" t="s">
        <v>2774</v>
      </c>
    </row>
    <row r="207" customFormat="false" ht="15" hidden="false" customHeight="false" outlineLevel="0" collapsed="false">
      <c r="A207" s="6" t="s">
        <v>185</v>
      </c>
      <c r="B207" s="9" t="s">
        <v>2754</v>
      </c>
      <c r="C207" s="6" t="s">
        <v>2604</v>
      </c>
      <c r="D207" s="6" t="s">
        <v>2641</v>
      </c>
      <c r="E207" s="9" t="s">
        <v>2759</v>
      </c>
      <c r="F207" s="10" t="n">
        <v>1850000</v>
      </c>
      <c r="G207" s="10" t="n">
        <v>600</v>
      </c>
      <c r="H207" s="14" t="n">
        <v>0.29</v>
      </c>
      <c r="I207" s="9" t="s">
        <v>2556</v>
      </c>
      <c r="J207" s="9" t="s">
        <v>2771</v>
      </c>
      <c r="K207" s="9" t="s">
        <v>2645</v>
      </c>
      <c r="L207" s="9" t="s">
        <v>2774</v>
      </c>
    </row>
    <row r="208" customFormat="false" ht="15" hidden="false" customHeight="false" outlineLevel="0" collapsed="false">
      <c r="A208" s="6" t="s">
        <v>185</v>
      </c>
      <c r="B208" s="9" t="s">
        <v>2754</v>
      </c>
      <c r="C208" s="6" t="s">
        <v>2604</v>
      </c>
      <c r="D208" s="6" t="s">
        <v>2641</v>
      </c>
      <c r="E208" s="9" t="s">
        <v>2759</v>
      </c>
      <c r="F208" s="10" t="n">
        <v>2650000</v>
      </c>
      <c r="G208" s="10" t="n">
        <v>850</v>
      </c>
      <c r="H208" s="14" t="n">
        <v>0.41</v>
      </c>
      <c r="I208" s="9" t="s">
        <v>2556</v>
      </c>
      <c r="J208" s="9" t="s">
        <v>2771</v>
      </c>
      <c r="K208" s="9" t="s">
        <v>2645</v>
      </c>
      <c r="L208" s="9" t="s">
        <v>2774</v>
      </c>
    </row>
    <row r="209" customFormat="false" ht="15" hidden="false" customHeight="false" outlineLevel="0" collapsed="false">
      <c r="A209" s="6" t="s">
        <v>185</v>
      </c>
      <c r="B209" s="9" t="s">
        <v>2754</v>
      </c>
      <c r="C209" s="6" t="s">
        <v>2604</v>
      </c>
      <c r="D209" s="6" t="s">
        <v>2641</v>
      </c>
      <c r="E209" s="9" t="s">
        <v>2761</v>
      </c>
      <c r="F209" s="10" t="n">
        <v>805889</v>
      </c>
      <c r="G209" s="10" t="n">
        <v>450</v>
      </c>
      <c r="H209" s="14" t="n">
        <v>0.13</v>
      </c>
      <c r="I209" s="9" t="s">
        <v>2767</v>
      </c>
      <c r="J209" s="9" t="s">
        <v>2768</v>
      </c>
      <c r="K209" s="9" t="s">
        <v>2645</v>
      </c>
      <c r="L209" s="9" t="s">
        <v>2774</v>
      </c>
    </row>
    <row r="210" customFormat="false" ht="15" hidden="false" customHeight="false" outlineLevel="0" collapsed="false">
      <c r="A210" s="6" t="s">
        <v>185</v>
      </c>
      <c r="B210" s="9" t="s">
        <v>2754</v>
      </c>
      <c r="C210" s="6" t="s">
        <v>2604</v>
      </c>
      <c r="D210" s="6" t="s">
        <v>2641</v>
      </c>
      <c r="E210" s="6" t="s">
        <v>2772</v>
      </c>
      <c r="F210" s="10" t="n">
        <v>2170694</v>
      </c>
      <c r="G210" s="10" t="n">
        <v>850</v>
      </c>
      <c r="H210" s="14" t="n">
        <v>0.34</v>
      </c>
      <c r="I210" s="9" t="s">
        <v>2333</v>
      </c>
      <c r="J210" s="9" t="s">
        <v>2773</v>
      </c>
      <c r="K210" s="9" t="s">
        <v>2645</v>
      </c>
      <c r="L210" s="9" t="s">
        <v>2774</v>
      </c>
    </row>
    <row r="211" customFormat="false" ht="15" hidden="false" customHeight="false" outlineLevel="0" collapsed="false">
      <c r="A211" s="6" t="s">
        <v>260</v>
      </c>
      <c r="B211" s="6" t="s">
        <v>2775</v>
      </c>
      <c r="C211" s="6" t="s">
        <v>2604</v>
      </c>
      <c r="D211" s="6" t="s">
        <v>2776</v>
      </c>
      <c r="E211" s="6" t="s">
        <v>2663</v>
      </c>
      <c r="F211" s="10" t="n">
        <v>900000</v>
      </c>
      <c r="G211" s="10" t="n">
        <v>31500000000</v>
      </c>
      <c r="H211" s="14" t="n">
        <v>1.28</v>
      </c>
      <c r="I211" s="9" t="s">
        <v>2204</v>
      </c>
      <c r="J211" s="9" t="s">
        <v>1887</v>
      </c>
      <c r="K211" s="9" t="s">
        <v>2645</v>
      </c>
      <c r="L211" s="9" t="s">
        <v>1889</v>
      </c>
    </row>
    <row r="212" customFormat="false" ht="15" hidden="false" customHeight="false" outlineLevel="0" collapsed="false">
      <c r="A212" s="6" t="s">
        <v>260</v>
      </c>
      <c r="B212" s="6" t="s">
        <v>2775</v>
      </c>
      <c r="C212" s="6" t="s">
        <v>2604</v>
      </c>
      <c r="D212" s="6" t="s">
        <v>2776</v>
      </c>
      <c r="E212" s="6" t="s">
        <v>2626</v>
      </c>
      <c r="F212" s="10" t="n">
        <v>900000</v>
      </c>
      <c r="G212" s="10" t="n">
        <v>31000000000</v>
      </c>
      <c r="H212" s="14" t="n">
        <v>1.28</v>
      </c>
      <c r="I212" s="9" t="s">
        <v>2204</v>
      </c>
      <c r="J212" s="9" t="s">
        <v>1887</v>
      </c>
      <c r="K212" s="9" t="s">
        <v>2645</v>
      </c>
      <c r="L212" s="9" t="s">
        <v>1889</v>
      </c>
    </row>
    <row r="213" customFormat="false" ht="15" hidden="false" customHeight="false" outlineLevel="0" collapsed="false">
      <c r="A213" s="6" t="s">
        <v>260</v>
      </c>
      <c r="B213" s="6" t="s">
        <v>2775</v>
      </c>
      <c r="C213" s="6" t="s">
        <v>2604</v>
      </c>
      <c r="D213" s="6" t="s">
        <v>2776</v>
      </c>
      <c r="E213" s="6" t="s">
        <v>2777</v>
      </c>
      <c r="F213" s="10" t="n">
        <v>900000</v>
      </c>
      <c r="G213" s="10" t="n">
        <v>26000000000</v>
      </c>
      <c r="H213" s="14" t="n">
        <v>1.28</v>
      </c>
      <c r="I213" s="9" t="s">
        <v>2204</v>
      </c>
      <c r="J213" s="9" t="s">
        <v>1887</v>
      </c>
      <c r="K213" s="9" t="s">
        <v>2645</v>
      </c>
      <c r="L213" s="9" t="s">
        <v>1889</v>
      </c>
    </row>
    <row r="214" customFormat="false" ht="15" hidden="false" customHeight="false" outlineLevel="0" collapsed="false">
      <c r="A214" s="6" t="s">
        <v>260</v>
      </c>
      <c r="B214" s="6" t="s">
        <v>2775</v>
      </c>
      <c r="C214" s="6" t="s">
        <v>2604</v>
      </c>
      <c r="D214" s="6" t="s">
        <v>2776</v>
      </c>
      <c r="E214" s="6" t="s">
        <v>2654</v>
      </c>
      <c r="F214" s="10" t="n">
        <v>80000</v>
      </c>
      <c r="G214" s="10" t="n">
        <v>3000000000</v>
      </c>
      <c r="H214" s="14" t="n">
        <v>0.11</v>
      </c>
      <c r="I214" s="9" t="s">
        <v>2331</v>
      </c>
      <c r="J214" s="9" t="s">
        <v>2778</v>
      </c>
      <c r="K214" s="9" t="s">
        <v>2645</v>
      </c>
      <c r="L214" s="9" t="s">
        <v>1889</v>
      </c>
    </row>
    <row r="215" customFormat="false" ht="15" hidden="false" customHeight="false" outlineLevel="0" collapsed="false">
      <c r="A215" s="6" t="s">
        <v>260</v>
      </c>
      <c r="B215" s="6" t="s">
        <v>2779</v>
      </c>
      <c r="C215" s="6" t="s">
        <v>2594</v>
      </c>
      <c r="D215" s="6" t="s">
        <v>2776</v>
      </c>
      <c r="E215" s="6" t="s">
        <v>2654</v>
      </c>
      <c r="F215" s="10" t="n">
        <v>500000</v>
      </c>
      <c r="G215" s="10"/>
      <c r="H215" s="14" t="n">
        <v>0.71</v>
      </c>
      <c r="I215" s="9" t="s">
        <v>2175</v>
      </c>
      <c r="J215" s="9" t="s">
        <v>2780</v>
      </c>
      <c r="K215" s="6"/>
      <c r="L215" s="9" t="s">
        <v>1889</v>
      </c>
    </row>
    <row r="216" customFormat="false" ht="15" hidden="false" customHeight="false" outlineLevel="0" collapsed="false">
      <c r="A216" s="6" t="s">
        <v>260</v>
      </c>
      <c r="B216" s="6" t="s">
        <v>2781</v>
      </c>
      <c r="C216" s="6" t="s">
        <v>2594</v>
      </c>
      <c r="D216" s="6" t="s">
        <v>2776</v>
      </c>
      <c r="E216" s="6" t="s">
        <v>2663</v>
      </c>
      <c r="F216" s="10" t="n">
        <v>450000</v>
      </c>
      <c r="G216" s="10"/>
      <c r="H216" s="14" t="n">
        <v>0.64</v>
      </c>
      <c r="I216" s="9" t="s">
        <v>2782</v>
      </c>
      <c r="J216" s="9" t="s">
        <v>1887</v>
      </c>
      <c r="K216" s="6"/>
      <c r="L216" s="9" t="s">
        <v>1889</v>
      </c>
    </row>
    <row r="217" customFormat="false" ht="15" hidden="false" customHeight="false" outlineLevel="0" collapsed="false">
      <c r="A217" s="6" t="s">
        <v>260</v>
      </c>
      <c r="B217" s="6" t="s">
        <v>2779</v>
      </c>
      <c r="C217" s="6" t="s">
        <v>2594</v>
      </c>
      <c r="D217" s="6" t="s">
        <v>2776</v>
      </c>
      <c r="E217" s="6" t="s">
        <v>2777</v>
      </c>
      <c r="F217" s="10" t="n">
        <v>600000</v>
      </c>
      <c r="G217" s="10" t="n">
        <v>20000000000</v>
      </c>
      <c r="H217" s="14" t="n">
        <v>0.85</v>
      </c>
      <c r="I217" s="9" t="s">
        <v>2783</v>
      </c>
      <c r="J217" s="9" t="s">
        <v>2148</v>
      </c>
      <c r="K217" s="9" t="s">
        <v>2645</v>
      </c>
      <c r="L217" s="9" t="s">
        <v>1889</v>
      </c>
    </row>
    <row r="218" customFormat="false" ht="15" hidden="false" customHeight="false" outlineLevel="0" collapsed="false">
      <c r="A218" s="6" t="s">
        <v>260</v>
      </c>
      <c r="B218" s="6" t="s">
        <v>2775</v>
      </c>
      <c r="C218" s="6" t="s">
        <v>2604</v>
      </c>
      <c r="D218" s="6" t="s">
        <v>2776</v>
      </c>
      <c r="E218" s="6" t="s">
        <v>2663</v>
      </c>
      <c r="F218" s="10" t="n">
        <v>680717</v>
      </c>
      <c r="G218" s="10" t="n">
        <v>31500000000</v>
      </c>
      <c r="H218" s="14" t="n">
        <v>1.28</v>
      </c>
      <c r="I218" s="9" t="s">
        <v>2204</v>
      </c>
      <c r="J218" s="9" t="s">
        <v>1887</v>
      </c>
      <c r="K218" s="9" t="s">
        <v>2645</v>
      </c>
      <c r="L218" s="9" t="s">
        <v>2784</v>
      </c>
    </row>
    <row r="219" customFormat="false" ht="15" hidden="false" customHeight="false" outlineLevel="0" collapsed="false">
      <c r="A219" s="6" t="s">
        <v>260</v>
      </c>
      <c r="B219" s="6" t="s">
        <v>2775</v>
      </c>
      <c r="C219" s="6" t="s">
        <v>2604</v>
      </c>
      <c r="D219" s="6" t="s">
        <v>2776</v>
      </c>
      <c r="E219" s="6" t="s">
        <v>2626</v>
      </c>
      <c r="F219" s="10" t="n">
        <v>680717</v>
      </c>
      <c r="G219" s="10" t="n">
        <v>31000000000</v>
      </c>
      <c r="H219" s="14" t="n">
        <v>1.28</v>
      </c>
      <c r="I219" s="9" t="s">
        <v>2204</v>
      </c>
      <c r="J219" s="9" t="s">
        <v>1887</v>
      </c>
      <c r="K219" s="9" t="s">
        <v>2645</v>
      </c>
      <c r="L219" s="9" t="s">
        <v>2784</v>
      </c>
    </row>
    <row r="220" customFormat="false" ht="15" hidden="false" customHeight="false" outlineLevel="0" collapsed="false">
      <c r="A220" s="6" t="s">
        <v>260</v>
      </c>
      <c r="B220" s="6" t="s">
        <v>2775</v>
      </c>
      <c r="C220" s="6" t="s">
        <v>2604</v>
      </c>
      <c r="D220" s="6" t="s">
        <v>2776</v>
      </c>
      <c r="E220" s="6" t="s">
        <v>2777</v>
      </c>
      <c r="F220" s="10" t="n">
        <v>680717</v>
      </c>
      <c r="G220" s="10" t="n">
        <v>26000000000</v>
      </c>
      <c r="H220" s="14" t="n">
        <v>1.28</v>
      </c>
      <c r="I220" s="9" t="s">
        <v>2204</v>
      </c>
      <c r="J220" s="9" t="s">
        <v>1887</v>
      </c>
      <c r="K220" s="9" t="s">
        <v>2645</v>
      </c>
      <c r="L220" s="9" t="s">
        <v>2784</v>
      </c>
    </row>
    <row r="221" customFormat="false" ht="15" hidden="false" customHeight="false" outlineLevel="0" collapsed="false">
      <c r="A221" s="6" t="s">
        <v>260</v>
      </c>
      <c r="B221" s="6" t="s">
        <v>2775</v>
      </c>
      <c r="C221" s="6" t="s">
        <v>2604</v>
      </c>
      <c r="D221" s="6" t="s">
        <v>2776</v>
      </c>
      <c r="E221" s="6" t="s">
        <v>2654</v>
      </c>
      <c r="F221" s="10" t="n">
        <v>60508</v>
      </c>
      <c r="G221" s="10" t="n">
        <v>3000000000</v>
      </c>
      <c r="H221" s="14" t="n">
        <v>0.11</v>
      </c>
      <c r="I221" s="9" t="s">
        <v>2331</v>
      </c>
      <c r="J221" s="9" t="s">
        <v>2778</v>
      </c>
      <c r="K221" s="9" t="s">
        <v>2645</v>
      </c>
      <c r="L221" s="9" t="s">
        <v>2784</v>
      </c>
    </row>
    <row r="222" customFormat="false" ht="15" hidden="false" customHeight="false" outlineLevel="0" collapsed="false">
      <c r="A222" s="6" t="s">
        <v>260</v>
      </c>
      <c r="B222" s="6" t="s">
        <v>2779</v>
      </c>
      <c r="C222" s="6" t="s">
        <v>2594</v>
      </c>
      <c r="D222" s="6" t="s">
        <v>2776</v>
      </c>
      <c r="E222" s="6" t="s">
        <v>2654</v>
      </c>
      <c r="F222" s="10" t="n">
        <v>703408</v>
      </c>
      <c r="G222" s="10"/>
      <c r="H222" s="14" t="n">
        <v>1.32</v>
      </c>
      <c r="I222" s="9" t="s">
        <v>2148</v>
      </c>
      <c r="J222" s="9" t="s">
        <v>2780</v>
      </c>
      <c r="K222" s="6"/>
      <c r="L222" s="9" t="s">
        <v>2784</v>
      </c>
    </row>
    <row r="223" customFormat="false" ht="15" hidden="false" customHeight="false" outlineLevel="0" collapsed="false">
      <c r="A223" s="6" t="s">
        <v>260</v>
      </c>
      <c r="B223" s="6" t="s">
        <v>2781</v>
      </c>
      <c r="C223" s="6" t="s">
        <v>2594</v>
      </c>
      <c r="D223" s="6" t="s">
        <v>2776</v>
      </c>
      <c r="E223" s="6" t="s">
        <v>2663</v>
      </c>
      <c r="F223" s="10" t="n">
        <v>340358</v>
      </c>
      <c r="G223" s="10"/>
      <c r="H223" s="14" t="n">
        <v>0.64</v>
      </c>
      <c r="I223" s="9" t="s">
        <v>2782</v>
      </c>
      <c r="J223" s="9" t="s">
        <v>1887</v>
      </c>
      <c r="K223" s="6"/>
      <c r="L223" s="9" t="s">
        <v>2784</v>
      </c>
    </row>
    <row r="224" customFormat="false" ht="15" hidden="false" customHeight="false" outlineLevel="0" collapsed="false">
      <c r="A224" s="6" t="s">
        <v>260</v>
      </c>
      <c r="B224" s="6" t="s">
        <v>2779</v>
      </c>
      <c r="C224" s="6" t="s">
        <v>2594</v>
      </c>
      <c r="D224" s="6" t="s">
        <v>2776</v>
      </c>
      <c r="E224" s="6" t="s">
        <v>2777</v>
      </c>
      <c r="F224" s="10" t="n">
        <v>453811</v>
      </c>
      <c r="G224" s="10" t="n">
        <v>19000000000</v>
      </c>
      <c r="H224" s="14" t="n">
        <v>0.85</v>
      </c>
      <c r="I224" s="9" t="s">
        <v>2422</v>
      </c>
      <c r="J224" s="9" t="s">
        <v>2785</v>
      </c>
      <c r="K224" s="9" t="s">
        <v>2645</v>
      </c>
      <c r="L224" s="9" t="s">
        <v>2784</v>
      </c>
    </row>
    <row r="225" customFormat="false" ht="15" hidden="false" customHeight="false" outlineLevel="0" collapsed="false">
      <c r="A225" s="9" t="s">
        <v>280</v>
      </c>
      <c r="B225" s="6" t="s">
        <v>2732</v>
      </c>
      <c r="C225" s="6" t="s">
        <v>2594</v>
      </c>
      <c r="D225" s="6" t="s">
        <v>2786</v>
      </c>
      <c r="E225" s="6" t="s">
        <v>2738</v>
      </c>
      <c r="F225" s="10" t="n">
        <v>1602227</v>
      </c>
      <c r="G225" s="10" t="n">
        <v>402500</v>
      </c>
      <c r="H225" s="14" t="n">
        <v>3.67</v>
      </c>
      <c r="I225" s="9" t="s">
        <v>2739</v>
      </c>
      <c r="J225" s="6"/>
      <c r="K225" s="9" t="s">
        <v>2787</v>
      </c>
      <c r="L225" s="9" t="s">
        <v>1855</v>
      </c>
    </row>
    <row r="226" customFormat="false" ht="15" hidden="false" customHeight="false" outlineLevel="0" collapsed="false">
      <c r="A226" s="9" t="s">
        <v>280</v>
      </c>
      <c r="B226" s="9" t="s">
        <v>2788</v>
      </c>
      <c r="C226" s="6" t="s">
        <v>2604</v>
      </c>
      <c r="D226" s="6" t="s">
        <v>2786</v>
      </c>
      <c r="E226" s="6" t="s">
        <v>2665</v>
      </c>
      <c r="F226" s="10" t="n">
        <v>2953783</v>
      </c>
      <c r="G226" s="10" t="n">
        <v>40000</v>
      </c>
      <c r="H226" s="14" t="n">
        <v>6.77</v>
      </c>
      <c r="I226" s="9" t="s">
        <v>2789</v>
      </c>
      <c r="J226" s="6"/>
      <c r="K226" s="9" t="s">
        <v>2788</v>
      </c>
      <c r="L226" s="9" t="s">
        <v>1855</v>
      </c>
    </row>
    <row r="227" customFormat="false" ht="15" hidden="false" customHeight="false" outlineLevel="0" collapsed="false">
      <c r="A227" s="9" t="s">
        <v>280</v>
      </c>
      <c r="B227" s="9" t="s">
        <v>2788</v>
      </c>
      <c r="C227" s="6" t="s">
        <v>2604</v>
      </c>
      <c r="D227" s="6" t="s">
        <v>2786</v>
      </c>
      <c r="E227" s="6" t="s">
        <v>2665</v>
      </c>
      <c r="F227" s="10"/>
      <c r="G227" s="10" t="n">
        <v>10000</v>
      </c>
      <c r="H227" s="14" t="n">
        <v>0</v>
      </c>
      <c r="I227" s="9" t="s">
        <v>2790</v>
      </c>
      <c r="J227" s="6"/>
      <c r="K227" s="9" t="s">
        <v>2788</v>
      </c>
      <c r="L227" s="9" t="s">
        <v>1855</v>
      </c>
    </row>
    <row r="228" customFormat="false" ht="15" hidden="false" customHeight="false" outlineLevel="0" collapsed="false">
      <c r="A228" s="9" t="s">
        <v>280</v>
      </c>
      <c r="B228" s="9" t="s">
        <v>2788</v>
      </c>
      <c r="C228" s="6" t="s">
        <v>2604</v>
      </c>
      <c r="D228" s="6" t="s">
        <v>2786</v>
      </c>
      <c r="E228" s="6" t="s">
        <v>2663</v>
      </c>
      <c r="F228" s="10" t="n">
        <v>1500000</v>
      </c>
      <c r="G228" s="10" t="n">
        <v>25000</v>
      </c>
      <c r="H228" s="14" t="n">
        <v>3.44</v>
      </c>
      <c r="I228" s="9" t="s">
        <v>2791</v>
      </c>
      <c r="J228" s="6"/>
      <c r="K228" s="9" t="s">
        <v>2788</v>
      </c>
      <c r="L228" s="9" t="s">
        <v>1855</v>
      </c>
    </row>
    <row r="229" customFormat="false" ht="15" hidden="false" customHeight="false" outlineLevel="0" collapsed="false">
      <c r="A229" s="9" t="s">
        <v>280</v>
      </c>
      <c r="B229" s="9" t="s">
        <v>2788</v>
      </c>
      <c r="C229" s="6" t="s">
        <v>2604</v>
      </c>
      <c r="D229" s="6" t="s">
        <v>2786</v>
      </c>
      <c r="E229" s="6" t="s">
        <v>2792</v>
      </c>
      <c r="F229" s="10" t="n">
        <v>1000000</v>
      </c>
      <c r="G229" s="10" t="n">
        <v>10000</v>
      </c>
      <c r="H229" s="14" t="n">
        <v>2.29</v>
      </c>
      <c r="I229" s="9" t="s">
        <v>2793</v>
      </c>
      <c r="J229" s="6"/>
      <c r="K229" s="9" t="s">
        <v>2788</v>
      </c>
      <c r="L229" s="9" t="s">
        <v>1855</v>
      </c>
    </row>
    <row r="230" customFormat="false" ht="15" hidden="false" customHeight="false" outlineLevel="0" collapsed="false">
      <c r="A230" s="9" t="s">
        <v>280</v>
      </c>
      <c r="B230" s="9" t="s">
        <v>2788</v>
      </c>
      <c r="C230" s="6" t="s">
        <v>2604</v>
      </c>
      <c r="D230" s="6" t="s">
        <v>2786</v>
      </c>
      <c r="E230" s="6" t="s">
        <v>2699</v>
      </c>
      <c r="F230" s="10" t="n">
        <v>500000</v>
      </c>
      <c r="G230" s="10" t="n">
        <v>10000</v>
      </c>
      <c r="H230" s="14" t="n">
        <v>1.15</v>
      </c>
      <c r="I230" s="9" t="s">
        <v>2794</v>
      </c>
      <c r="J230" s="6"/>
      <c r="K230" s="9" t="s">
        <v>2788</v>
      </c>
      <c r="L230" s="9" t="s">
        <v>1855</v>
      </c>
    </row>
    <row r="231" customFormat="false" ht="15" hidden="false" customHeight="false" outlineLevel="0" collapsed="false">
      <c r="A231" s="9" t="s">
        <v>280</v>
      </c>
      <c r="B231" s="9" t="s">
        <v>2788</v>
      </c>
      <c r="C231" s="6" t="s">
        <v>2604</v>
      </c>
      <c r="D231" s="6" t="s">
        <v>2786</v>
      </c>
      <c r="E231" s="6" t="s">
        <v>2699</v>
      </c>
      <c r="F231" s="10" t="n">
        <v>1840000</v>
      </c>
      <c r="G231" s="10" t="n">
        <v>25000</v>
      </c>
      <c r="H231" s="14" t="n">
        <v>4.22</v>
      </c>
      <c r="I231" s="9" t="s">
        <v>2795</v>
      </c>
      <c r="J231" s="6"/>
      <c r="K231" s="9" t="s">
        <v>2788</v>
      </c>
      <c r="L231" s="9" t="s">
        <v>1855</v>
      </c>
    </row>
    <row r="232" customFormat="false" ht="15" hidden="false" customHeight="false" outlineLevel="0" collapsed="false">
      <c r="A232" s="9" t="s">
        <v>280</v>
      </c>
      <c r="B232" s="6" t="s">
        <v>2732</v>
      </c>
      <c r="C232" s="6" t="s">
        <v>2594</v>
      </c>
      <c r="D232" s="6" t="s">
        <v>2786</v>
      </c>
      <c r="E232" s="6" t="s">
        <v>2738</v>
      </c>
      <c r="F232" s="10" t="n">
        <v>1602227</v>
      </c>
      <c r="G232" s="10" t="n">
        <v>402500</v>
      </c>
      <c r="H232" s="14" t="n">
        <v>3.67</v>
      </c>
      <c r="I232" s="9" t="s">
        <v>2739</v>
      </c>
      <c r="J232" s="6"/>
      <c r="K232" s="9" t="s">
        <v>2787</v>
      </c>
      <c r="L232" s="9" t="s">
        <v>2796</v>
      </c>
    </row>
    <row r="233" customFormat="false" ht="15" hidden="false" customHeight="false" outlineLevel="0" collapsed="false">
      <c r="A233" s="9" t="s">
        <v>280</v>
      </c>
      <c r="B233" s="9" t="s">
        <v>2788</v>
      </c>
      <c r="C233" s="6" t="s">
        <v>2604</v>
      </c>
      <c r="D233" s="6" t="s">
        <v>2786</v>
      </c>
      <c r="E233" s="6" t="s">
        <v>2665</v>
      </c>
      <c r="F233" s="10" t="n">
        <v>2953783</v>
      </c>
      <c r="G233" s="10" t="n">
        <v>40000</v>
      </c>
      <c r="H233" s="14" t="n">
        <v>6.77</v>
      </c>
      <c r="I233" s="9" t="s">
        <v>2789</v>
      </c>
      <c r="J233" s="6"/>
      <c r="K233" s="9" t="s">
        <v>2788</v>
      </c>
      <c r="L233" s="9" t="s">
        <v>2796</v>
      </c>
    </row>
    <row r="234" customFormat="false" ht="15" hidden="false" customHeight="false" outlineLevel="0" collapsed="false">
      <c r="A234" s="9" t="s">
        <v>280</v>
      </c>
      <c r="B234" s="9" t="s">
        <v>2788</v>
      </c>
      <c r="C234" s="6" t="s">
        <v>2604</v>
      </c>
      <c r="D234" s="6" t="s">
        <v>2786</v>
      </c>
      <c r="E234" s="6" t="s">
        <v>2665</v>
      </c>
      <c r="F234" s="10"/>
      <c r="G234" s="10" t="n">
        <v>10000</v>
      </c>
      <c r="H234" s="14" t="n">
        <v>0</v>
      </c>
      <c r="I234" s="9" t="s">
        <v>2790</v>
      </c>
      <c r="J234" s="6"/>
      <c r="K234" s="9" t="s">
        <v>2788</v>
      </c>
      <c r="L234" s="9" t="s">
        <v>2796</v>
      </c>
    </row>
    <row r="235" customFormat="false" ht="15" hidden="false" customHeight="false" outlineLevel="0" collapsed="false">
      <c r="A235" s="9" t="s">
        <v>280</v>
      </c>
      <c r="B235" s="9" t="s">
        <v>2788</v>
      </c>
      <c r="C235" s="6" t="s">
        <v>2604</v>
      </c>
      <c r="D235" s="6" t="s">
        <v>2786</v>
      </c>
      <c r="E235" s="6" t="s">
        <v>2797</v>
      </c>
      <c r="F235" s="10" t="n">
        <v>1000000</v>
      </c>
      <c r="G235" s="10" t="n">
        <v>25000</v>
      </c>
      <c r="H235" s="14" t="n">
        <v>2.29</v>
      </c>
      <c r="I235" s="9" t="s">
        <v>2454</v>
      </c>
      <c r="J235" s="6"/>
      <c r="K235" s="9" t="s">
        <v>2788</v>
      </c>
      <c r="L235" s="9" t="s">
        <v>2796</v>
      </c>
    </row>
    <row r="236" customFormat="false" ht="15" hidden="false" customHeight="false" outlineLevel="0" collapsed="false">
      <c r="A236" s="9" t="s">
        <v>280</v>
      </c>
      <c r="B236" s="9" t="s">
        <v>2788</v>
      </c>
      <c r="C236" s="6" t="s">
        <v>2604</v>
      </c>
      <c r="D236" s="6" t="s">
        <v>2786</v>
      </c>
      <c r="E236" s="6" t="s">
        <v>2792</v>
      </c>
      <c r="F236" s="10" t="n">
        <v>1000000</v>
      </c>
      <c r="G236" s="10" t="n">
        <v>10000</v>
      </c>
      <c r="H236" s="14" t="n">
        <v>2.29</v>
      </c>
      <c r="I236" s="9" t="s">
        <v>2793</v>
      </c>
      <c r="J236" s="6"/>
      <c r="K236" s="9" t="s">
        <v>2788</v>
      </c>
      <c r="L236" s="9" t="s">
        <v>2796</v>
      </c>
    </row>
    <row r="237" customFormat="false" ht="15" hidden="false" customHeight="false" outlineLevel="0" collapsed="false">
      <c r="A237" s="9" t="s">
        <v>280</v>
      </c>
      <c r="B237" s="9" t="s">
        <v>2788</v>
      </c>
      <c r="C237" s="6" t="s">
        <v>2604</v>
      </c>
      <c r="D237" s="6" t="s">
        <v>2786</v>
      </c>
      <c r="E237" s="6" t="s">
        <v>2699</v>
      </c>
      <c r="F237" s="10" t="n">
        <v>500000</v>
      </c>
      <c r="G237" s="10" t="n">
        <v>10000</v>
      </c>
      <c r="H237" s="14" t="n">
        <v>1.15</v>
      </c>
      <c r="I237" s="9" t="s">
        <v>2794</v>
      </c>
      <c r="J237" s="6"/>
      <c r="K237" s="9" t="s">
        <v>2788</v>
      </c>
      <c r="L237" s="9" t="s">
        <v>2796</v>
      </c>
    </row>
    <row r="238" customFormat="false" ht="15" hidden="false" customHeight="false" outlineLevel="0" collapsed="false">
      <c r="A238" s="9" t="s">
        <v>280</v>
      </c>
      <c r="B238" s="9" t="s">
        <v>2788</v>
      </c>
      <c r="C238" s="6" t="s">
        <v>2604</v>
      </c>
      <c r="D238" s="6" t="s">
        <v>2786</v>
      </c>
      <c r="E238" s="6" t="s">
        <v>2699</v>
      </c>
      <c r="F238" s="10" t="n">
        <v>1840000</v>
      </c>
      <c r="G238" s="10" t="n">
        <v>25000</v>
      </c>
      <c r="H238" s="14" t="n">
        <v>4.22</v>
      </c>
      <c r="I238" s="9" t="s">
        <v>2795</v>
      </c>
      <c r="J238" s="6"/>
      <c r="K238" s="9" t="s">
        <v>2788</v>
      </c>
      <c r="L238" s="9" t="s">
        <v>2796</v>
      </c>
    </row>
    <row r="239" customFormat="false" ht="15" hidden="false" customHeight="false" outlineLevel="0" collapsed="false">
      <c r="A239" s="6" t="s">
        <v>287</v>
      </c>
      <c r="B239" s="6" t="s">
        <v>2798</v>
      </c>
      <c r="C239" s="6" t="s">
        <v>2588</v>
      </c>
      <c r="D239" s="6" t="s">
        <v>2799</v>
      </c>
      <c r="E239" s="6" t="s">
        <v>2800</v>
      </c>
      <c r="F239" s="10" t="n">
        <v>146795000</v>
      </c>
      <c r="G239" s="10"/>
      <c r="H239" s="14" t="n">
        <v>14.3</v>
      </c>
      <c r="I239" s="9" t="s">
        <v>2801</v>
      </c>
      <c r="J239" s="6"/>
      <c r="K239" s="6"/>
      <c r="L239" s="9" t="s">
        <v>1807</v>
      </c>
    </row>
    <row r="240" customFormat="false" ht="15" hidden="false" customHeight="false" outlineLevel="0" collapsed="false">
      <c r="A240" s="6" t="s">
        <v>287</v>
      </c>
      <c r="B240" s="6" t="s">
        <v>2798</v>
      </c>
      <c r="C240" s="6" t="s">
        <v>2588</v>
      </c>
      <c r="D240" s="6" t="s">
        <v>2799</v>
      </c>
      <c r="E240" s="6" t="s">
        <v>2800</v>
      </c>
      <c r="F240" s="10" t="n">
        <v>146795000</v>
      </c>
      <c r="G240" s="10"/>
      <c r="H240" s="14" t="n">
        <v>14.3</v>
      </c>
      <c r="I240" s="9" t="s">
        <v>2547</v>
      </c>
      <c r="J240" s="6"/>
      <c r="K240" s="6"/>
      <c r="L240" s="9" t="s">
        <v>2802</v>
      </c>
    </row>
    <row r="241" customFormat="false" ht="15" hidden="false" customHeight="false" outlineLevel="0" collapsed="false">
      <c r="A241" s="6" t="s">
        <v>312</v>
      </c>
      <c r="B241" s="6" t="s">
        <v>2803</v>
      </c>
      <c r="C241" s="6" t="s">
        <v>2594</v>
      </c>
      <c r="D241" s="6" t="s">
        <v>2589</v>
      </c>
      <c r="E241" s="6" t="s">
        <v>2665</v>
      </c>
      <c r="F241" s="10" t="n">
        <v>840600</v>
      </c>
      <c r="G241" s="10" t="n">
        <v>12570000000</v>
      </c>
      <c r="H241" s="14" t="n">
        <v>1.23</v>
      </c>
      <c r="I241" s="9" t="s">
        <v>2804</v>
      </c>
      <c r="J241" s="6"/>
      <c r="K241" s="9" t="s">
        <v>2645</v>
      </c>
      <c r="L241" s="9" t="s">
        <v>1933</v>
      </c>
    </row>
    <row r="242" customFormat="false" ht="15" hidden="false" customHeight="false" outlineLevel="0" collapsed="false">
      <c r="A242" s="6" t="s">
        <v>312</v>
      </c>
      <c r="B242" s="6" t="s">
        <v>2803</v>
      </c>
      <c r="C242" s="6" t="s">
        <v>2594</v>
      </c>
      <c r="D242" s="6" t="s">
        <v>2589</v>
      </c>
      <c r="E242" s="6" t="s">
        <v>2665</v>
      </c>
      <c r="F242" s="10" t="n">
        <v>1594558</v>
      </c>
      <c r="G242" s="10" t="n">
        <v>15965000000</v>
      </c>
      <c r="H242" s="14" t="n">
        <v>2.33</v>
      </c>
      <c r="I242" s="9" t="s">
        <v>2805</v>
      </c>
      <c r="J242" s="6"/>
      <c r="K242" s="9" t="s">
        <v>2645</v>
      </c>
      <c r="L242" s="9" t="s">
        <v>1933</v>
      </c>
    </row>
    <row r="243" customFormat="false" ht="15" hidden="false" customHeight="false" outlineLevel="0" collapsed="false">
      <c r="A243" s="6" t="s">
        <v>312</v>
      </c>
      <c r="B243" s="6" t="s">
        <v>2806</v>
      </c>
      <c r="C243" s="6" t="s">
        <v>2594</v>
      </c>
      <c r="D243" s="6" t="s">
        <v>2589</v>
      </c>
      <c r="E243" s="6" t="s">
        <v>2665</v>
      </c>
      <c r="F243" s="10" t="n">
        <v>222600</v>
      </c>
      <c r="G243" s="10" t="n">
        <v>4000000000</v>
      </c>
      <c r="H243" s="14" t="n">
        <v>0.33</v>
      </c>
      <c r="I243" s="9" t="s">
        <v>2807</v>
      </c>
      <c r="J243" s="6"/>
      <c r="K243" s="6" t="s">
        <v>2803</v>
      </c>
      <c r="L243" s="9" t="s">
        <v>1933</v>
      </c>
    </row>
    <row r="244" customFormat="false" ht="15" hidden="false" customHeight="false" outlineLevel="0" collapsed="false">
      <c r="A244" s="6" t="s">
        <v>312</v>
      </c>
      <c r="B244" s="6" t="s">
        <v>2806</v>
      </c>
      <c r="C244" s="6" t="s">
        <v>2594</v>
      </c>
      <c r="D244" s="6" t="s">
        <v>2589</v>
      </c>
      <c r="E244" s="6" t="s">
        <v>2665</v>
      </c>
      <c r="F244" s="10" t="n">
        <v>130000</v>
      </c>
      <c r="G244" s="10" t="n">
        <v>2000000000</v>
      </c>
      <c r="H244" s="14" t="n">
        <v>0.19</v>
      </c>
      <c r="I244" s="9" t="s">
        <v>2808</v>
      </c>
      <c r="J244" s="6"/>
      <c r="K244" s="6" t="s">
        <v>2803</v>
      </c>
      <c r="L244" s="9" t="s">
        <v>1933</v>
      </c>
    </row>
    <row r="245" customFormat="false" ht="15" hidden="false" customHeight="false" outlineLevel="0" collapsed="false">
      <c r="A245" s="6" t="s">
        <v>312</v>
      </c>
      <c r="B245" s="6" t="s">
        <v>2806</v>
      </c>
      <c r="C245" s="6" t="s">
        <v>2594</v>
      </c>
      <c r="D245" s="6" t="s">
        <v>2589</v>
      </c>
      <c r="E245" s="6" t="s">
        <v>2665</v>
      </c>
      <c r="F245" s="10" t="n">
        <v>320000</v>
      </c>
      <c r="G245" s="10" t="n">
        <v>10000000000</v>
      </c>
      <c r="H245" s="14" t="n">
        <v>0.47</v>
      </c>
      <c r="I245" s="9" t="s">
        <v>2809</v>
      </c>
      <c r="J245" s="6"/>
      <c r="K245" s="6" t="s">
        <v>2803</v>
      </c>
      <c r="L245" s="9" t="s">
        <v>1933</v>
      </c>
    </row>
    <row r="246" customFormat="false" ht="15" hidden="false" customHeight="false" outlineLevel="0" collapsed="false">
      <c r="A246" s="6" t="s">
        <v>312</v>
      </c>
      <c r="B246" s="6" t="s">
        <v>2806</v>
      </c>
      <c r="C246" s="6" t="s">
        <v>2594</v>
      </c>
      <c r="D246" s="6" t="s">
        <v>2589</v>
      </c>
      <c r="E246" s="6" t="s">
        <v>2665</v>
      </c>
      <c r="F246" s="10" t="n">
        <v>104000</v>
      </c>
      <c r="G246" s="10" t="n">
        <v>12570000000</v>
      </c>
      <c r="H246" s="14" t="n">
        <v>0.15</v>
      </c>
      <c r="I246" s="9" t="s">
        <v>2810</v>
      </c>
      <c r="J246" s="6"/>
      <c r="K246" s="6" t="s">
        <v>2803</v>
      </c>
      <c r="L246" s="9" t="s">
        <v>1933</v>
      </c>
    </row>
    <row r="247" customFormat="false" ht="15" hidden="false" customHeight="false" outlineLevel="0" collapsed="false">
      <c r="A247" s="6" t="s">
        <v>312</v>
      </c>
      <c r="B247" s="6" t="s">
        <v>2803</v>
      </c>
      <c r="C247" s="6" t="s">
        <v>2594</v>
      </c>
      <c r="D247" s="6" t="s">
        <v>2811</v>
      </c>
      <c r="E247" s="6" t="s">
        <v>2812</v>
      </c>
      <c r="F247" s="10" t="n">
        <v>362500</v>
      </c>
      <c r="G247" s="10"/>
      <c r="H247" s="14" t="n">
        <v>0.53</v>
      </c>
      <c r="I247" s="9" t="s">
        <v>2813</v>
      </c>
      <c r="J247" s="6"/>
      <c r="K247" s="6"/>
      <c r="L247" s="9" t="s">
        <v>1933</v>
      </c>
    </row>
    <row r="248" customFormat="false" ht="15" hidden="false" customHeight="false" outlineLevel="0" collapsed="false">
      <c r="A248" s="6" t="s">
        <v>312</v>
      </c>
      <c r="B248" s="6" t="s">
        <v>2803</v>
      </c>
      <c r="C248" s="6" t="s">
        <v>2594</v>
      </c>
      <c r="D248" s="6" t="s">
        <v>2811</v>
      </c>
      <c r="E248" s="6" t="s">
        <v>2814</v>
      </c>
      <c r="F248" s="10" t="n">
        <v>362500</v>
      </c>
      <c r="G248" s="10"/>
      <c r="H248" s="14" t="n">
        <v>0.53</v>
      </c>
      <c r="I248" s="9" t="s">
        <v>2813</v>
      </c>
      <c r="J248" s="6"/>
      <c r="K248" s="6"/>
      <c r="L248" s="9" t="s">
        <v>1933</v>
      </c>
    </row>
    <row r="249" customFormat="false" ht="15" hidden="false" customHeight="false" outlineLevel="0" collapsed="false">
      <c r="A249" s="6" t="s">
        <v>312</v>
      </c>
      <c r="B249" s="6" t="s">
        <v>2803</v>
      </c>
      <c r="C249" s="6" t="s">
        <v>2594</v>
      </c>
      <c r="D249" s="6" t="s">
        <v>2811</v>
      </c>
      <c r="E249" s="6" t="s">
        <v>2812</v>
      </c>
      <c r="F249" s="10" t="n">
        <v>250000</v>
      </c>
      <c r="G249" s="10"/>
      <c r="H249" s="14" t="n">
        <v>0.37</v>
      </c>
      <c r="I249" s="9" t="s">
        <v>2815</v>
      </c>
      <c r="J249" s="6"/>
      <c r="K249" s="6"/>
      <c r="L249" s="9" t="s">
        <v>1933</v>
      </c>
    </row>
    <row r="250" customFormat="false" ht="15" hidden="false" customHeight="false" outlineLevel="0" collapsed="false">
      <c r="A250" s="6" t="s">
        <v>312</v>
      </c>
      <c r="B250" s="6" t="s">
        <v>2803</v>
      </c>
      <c r="C250" s="6" t="s">
        <v>2594</v>
      </c>
      <c r="D250" s="6" t="s">
        <v>2811</v>
      </c>
      <c r="E250" s="6" t="s">
        <v>2814</v>
      </c>
      <c r="F250" s="10" t="n">
        <v>250000</v>
      </c>
      <c r="G250" s="10"/>
      <c r="H250" s="14" t="n">
        <v>0.37</v>
      </c>
      <c r="I250" s="9" t="s">
        <v>2815</v>
      </c>
      <c r="J250" s="6"/>
      <c r="K250" s="6"/>
      <c r="L250" s="9" t="s">
        <v>1933</v>
      </c>
    </row>
    <row r="251" customFormat="false" ht="15" hidden="false" customHeight="false" outlineLevel="0" collapsed="false">
      <c r="A251" s="6" t="s">
        <v>312</v>
      </c>
      <c r="B251" s="6" t="s">
        <v>2803</v>
      </c>
      <c r="C251" s="6" t="s">
        <v>2594</v>
      </c>
      <c r="D251" s="6" t="s">
        <v>2811</v>
      </c>
      <c r="E251" s="6" t="s">
        <v>2812</v>
      </c>
      <c r="F251" s="10" t="n">
        <v>16500</v>
      </c>
      <c r="G251" s="10"/>
      <c r="H251" s="14" t="n">
        <v>0.02</v>
      </c>
      <c r="I251" s="9" t="s">
        <v>2810</v>
      </c>
      <c r="J251" s="6"/>
      <c r="K251" s="6"/>
      <c r="L251" s="9" t="s">
        <v>1933</v>
      </c>
    </row>
    <row r="252" customFormat="false" ht="15" hidden="false" customHeight="false" outlineLevel="0" collapsed="false">
      <c r="A252" s="6" t="s">
        <v>312</v>
      </c>
      <c r="B252" s="6" t="s">
        <v>2803</v>
      </c>
      <c r="C252" s="6" t="s">
        <v>2594</v>
      </c>
      <c r="D252" s="6" t="s">
        <v>2811</v>
      </c>
      <c r="E252" s="6" t="s">
        <v>2814</v>
      </c>
      <c r="F252" s="10" t="n">
        <v>16500</v>
      </c>
      <c r="G252" s="10"/>
      <c r="H252" s="14" t="n">
        <v>0.02</v>
      </c>
      <c r="I252" s="9" t="s">
        <v>2810</v>
      </c>
      <c r="J252" s="6"/>
      <c r="K252" s="6"/>
      <c r="L252" s="9" t="s">
        <v>1933</v>
      </c>
    </row>
    <row r="253" customFormat="false" ht="15" hidden="false" customHeight="false" outlineLevel="0" collapsed="false">
      <c r="A253" s="6" t="s">
        <v>312</v>
      </c>
      <c r="B253" s="6" t="s">
        <v>2803</v>
      </c>
      <c r="C253" s="6" t="s">
        <v>2594</v>
      </c>
      <c r="D253" s="6" t="s">
        <v>2811</v>
      </c>
      <c r="E253" s="6" t="s">
        <v>2812</v>
      </c>
      <c r="F253" s="10" t="n">
        <v>80000</v>
      </c>
      <c r="G253" s="10"/>
      <c r="H253" s="14" t="n">
        <v>0.12</v>
      </c>
      <c r="I253" s="9" t="s">
        <v>2816</v>
      </c>
      <c r="J253" s="6"/>
      <c r="K253" s="6"/>
      <c r="L253" s="9" t="s">
        <v>1933</v>
      </c>
    </row>
    <row r="254" customFormat="false" ht="15" hidden="false" customHeight="false" outlineLevel="0" collapsed="false">
      <c r="A254" s="6" t="s">
        <v>312</v>
      </c>
      <c r="B254" s="6" t="s">
        <v>2803</v>
      </c>
      <c r="C254" s="6" t="s">
        <v>2594</v>
      </c>
      <c r="D254" s="6" t="s">
        <v>2811</v>
      </c>
      <c r="E254" s="6" t="s">
        <v>2814</v>
      </c>
      <c r="F254" s="10" t="n">
        <v>80000</v>
      </c>
      <c r="G254" s="10"/>
      <c r="H254" s="14" t="n">
        <v>0.12</v>
      </c>
      <c r="I254" s="9" t="s">
        <v>2816</v>
      </c>
      <c r="J254" s="6"/>
      <c r="K254" s="6"/>
      <c r="L254" s="9" t="s">
        <v>1933</v>
      </c>
    </row>
    <row r="255" customFormat="false" ht="15" hidden="false" customHeight="false" outlineLevel="0" collapsed="false">
      <c r="A255" s="6" t="s">
        <v>312</v>
      </c>
      <c r="B255" s="6" t="s">
        <v>2803</v>
      </c>
      <c r="C255" s="6" t="s">
        <v>2594</v>
      </c>
      <c r="D255" s="6" t="s">
        <v>2589</v>
      </c>
      <c r="E255" s="6" t="s">
        <v>2665</v>
      </c>
      <c r="F255" s="10" t="n">
        <v>300000</v>
      </c>
      <c r="G255" s="10"/>
      <c r="H255" s="14" t="n">
        <v>0.44</v>
      </c>
      <c r="I255" s="9" t="s">
        <v>2817</v>
      </c>
      <c r="J255" s="6"/>
      <c r="K255" s="6"/>
      <c r="L255" s="9" t="s">
        <v>1933</v>
      </c>
    </row>
    <row r="256" customFormat="false" ht="15" hidden="false" customHeight="false" outlineLevel="0" collapsed="false">
      <c r="A256" s="6" t="s">
        <v>312</v>
      </c>
      <c r="B256" s="6" t="s">
        <v>2818</v>
      </c>
      <c r="C256" s="6" t="s">
        <v>2594</v>
      </c>
      <c r="D256" s="6" t="s">
        <v>2819</v>
      </c>
      <c r="E256" s="9" t="s">
        <v>2820</v>
      </c>
      <c r="F256" s="10" t="n">
        <v>265542</v>
      </c>
      <c r="G256" s="10"/>
      <c r="H256" s="14" t="n">
        <v>0.39</v>
      </c>
      <c r="I256" s="9" t="s">
        <v>2217</v>
      </c>
      <c r="J256" s="6"/>
      <c r="K256" s="6"/>
      <c r="L256" s="9" t="s">
        <v>1933</v>
      </c>
    </row>
    <row r="257" customFormat="false" ht="15" hidden="false" customHeight="false" outlineLevel="0" collapsed="false">
      <c r="A257" s="6" t="s">
        <v>312</v>
      </c>
      <c r="B257" s="6" t="s">
        <v>2821</v>
      </c>
      <c r="C257" s="6" t="s">
        <v>2594</v>
      </c>
      <c r="D257" s="6" t="s">
        <v>2819</v>
      </c>
      <c r="E257" s="9" t="s">
        <v>2820</v>
      </c>
      <c r="F257" s="10" t="n">
        <v>695823</v>
      </c>
      <c r="G257" s="10"/>
      <c r="H257" s="14" t="n">
        <v>1.02</v>
      </c>
      <c r="I257" s="9" t="s">
        <v>2217</v>
      </c>
      <c r="J257" s="6"/>
      <c r="K257" s="6"/>
      <c r="L257" s="9" t="s">
        <v>1933</v>
      </c>
    </row>
    <row r="258" customFormat="false" ht="15" hidden="false" customHeight="false" outlineLevel="0" collapsed="false">
      <c r="A258" s="6" t="s">
        <v>312</v>
      </c>
      <c r="B258" s="6" t="s">
        <v>2822</v>
      </c>
      <c r="C258" s="6" t="s">
        <v>2594</v>
      </c>
      <c r="D258" s="6" t="s">
        <v>2819</v>
      </c>
      <c r="E258" s="9" t="s">
        <v>2820</v>
      </c>
      <c r="F258" s="10" t="n">
        <v>738263</v>
      </c>
      <c r="G258" s="10"/>
      <c r="H258" s="14" t="n">
        <v>1.08</v>
      </c>
      <c r="I258" s="9" t="s">
        <v>2217</v>
      </c>
      <c r="J258" s="6"/>
      <c r="K258" s="6"/>
      <c r="L258" s="9" t="s">
        <v>1933</v>
      </c>
    </row>
    <row r="259" customFormat="false" ht="15" hidden="false" customHeight="false" outlineLevel="0" collapsed="false">
      <c r="A259" s="6" t="s">
        <v>312</v>
      </c>
      <c r="B259" s="6" t="s">
        <v>2823</v>
      </c>
      <c r="C259" s="6" t="s">
        <v>2594</v>
      </c>
      <c r="D259" s="6" t="s">
        <v>2819</v>
      </c>
      <c r="E259" s="9" t="s">
        <v>2820</v>
      </c>
      <c r="F259" s="10" t="n">
        <v>738263</v>
      </c>
      <c r="G259" s="10"/>
      <c r="H259" s="14" t="n">
        <v>1.08</v>
      </c>
      <c r="I259" s="9" t="s">
        <v>2217</v>
      </c>
      <c r="J259" s="6"/>
      <c r="K259" s="6"/>
      <c r="L259" s="9" t="s">
        <v>1933</v>
      </c>
    </row>
    <row r="260" customFormat="false" ht="15" hidden="false" customHeight="false" outlineLevel="0" collapsed="false">
      <c r="A260" s="6" t="s">
        <v>312</v>
      </c>
      <c r="B260" s="6" t="s">
        <v>2803</v>
      </c>
      <c r="C260" s="6" t="s">
        <v>2594</v>
      </c>
      <c r="D260" s="6" t="s">
        <v>2589</v>
      </c>
      <c r="E260" s="6" t="s">
        <v>2665</v>
      </c>
      <c r="F260" s="10" t="n">
        <v>200000</v>
      </c>
      <c r="G260" s="10"/>
      <c r="H260" s="14" t="n">
        <v>0.29</v>
      </c>
      <c r="I260" s="9" t="s">
        <v>2352</v>
      </c>
      <c r="J260" s="6"/>
      <c r="K260" s="6"/>
      <c r="L260" s="9" t="s">
        <v>1933</v>
      </c>
    </row>
    <row r="261" customFormat="false" ht="15" hidden="false" customHeight="false" outlineLevel="0" collapsed="false">
      <c r="A261" s="6" t="s">
        <v>312</v>
      </c>
      <c r="B261" s="6" t="s">
        <v>2803</v>
      </c>
      <c r="C261" s="6" t="s">
        <v>2594</v>
      </c>
      <c r="D261" s="6" t="s">
        <v>2589</v>
      </c>
      <c r="E261" s="6" t="s">
        <v>2672</v>
      </c>
      <c r="F261" s="10" t="n">
        <v>161307</v>
      </c>
      <c r="G261" s="10"/>
      <c r="H261" s="14" t="n">
        <v>0.24</v>
      </c>
      <c r="I261" s="9" t="s">
        <v>2175</v>
      </c>
      <c r="J261" s="6"/>
      <c r="K261" s="6"/>
      <c r="L261" s="9" t="s">
        <v>1933</v>
      </c>
    </row>
    <row r="262" customFormat="false" ht="15" hidden="false" customHeight="false" outlineLevel="0" collapsed="false">
      <c r="A262" s="6" t="s">
        <v>312</v>
      </c>
      <c r="B262" s="6" t="s">
        <v>2803</v>
      </c>
      <c r="C262" s="6" t="s">
        <v>2594</v>
      </c>
      <c r="D262" s="6" t="s">
        <v>2589</v>
      </c>
      <c r="E262" s="6" t="s">
        <v>2665</v>
      </c>
      <c r="F262" s="10" t="n">
        <v>360000</v>
      </c>
      <c r="G262" s="10"/>
      <c r="H262" s="14" t="n">
        <v>0.53</v>
      </c>
      <c r="I262" s="9" t="s">
        <v>2824</v>
      </c>
      <c r="J262" s="6"/>
      <c r="K262" s="6"/>
      <c r="L262" s="9" t="s">
        <v>1933</v>
      </c>
    </row>
    <row r="263" customFormat="false" ht="15" hidden="false" customHeight="false" outlineLevel="0" collapsed="false">
      <c r="A263" s="6" t="s">
        <v>312</v>
      </c>
      <c r="B263" s="6" t="s">
        <v>2803</v>
      </c>
      <c r="C263" s="6" t="s">
        <v>2604</v>
      </c>
      <c r="D263" s="6" t="s">
        <v>2589</v>
      </c>
      <c r="E263" s="6" t="s">
        <v>2665</v>
      </c>
      <c r="F263" s="10" t="n">
        <v>840600</v>
      </c>
      <c r="G263" s="10" t="n">
        <v>12570000000</v>
      </c>
      <c r="H263" s="14" t="n">
        <v>1.23</v>
      </c>
      <c r="I263" s="9" t="s">
        <v>2804</v>
      </c>
      <c r="J263" s="6"/>
      <c r="K263" s="9" t="s">
        <v>2645</v>
      </c>
      <c r="L263" s="9" t="s">
        <v>2825</v>
      </c>
    </row>
    <row r="264" customFormat="false" ht="15" hidden="false" customHeight="false" outlineLevel="0" collapsed="false">
      <c r="A264" s="6" t="s">
        <v>312</v>
      </c>
      <c r="B264" s="6" t="s">
        <v>2803</v>
      </c>
      <c r="C264" s="6" t="s">
        <v>2604</v>
      </c>
      <c r="D264" s="6" t="s">
        <v>2589</v>
      </c>
      <c r="E264" s="6" t="s">
        <v>2665</v>
      </c>
      <c r="F264" s="10" t="n">
        <v>1594558</v>
      </c>
      <c r="G264" s="10" t="n">
        <v>15965000000</v>
      </c>
      <c r="H264" s="14" t="n">
        <v>2.33</v>
      </c>
      <c r="I264" s="9" t="s">
        <v>2826</v>
      </c>
      <c r="J264" s="6"/>
      <c r="K264" s="9" t="s">
        <v>2645</v>
      </c>
      <c r="L264" s="9" t="s">
        <v>2825</v>
      </c>
    </row>
    <row r="265" customFormat="false" ht="15" hidden="false" customHeight="false" outlineLevel="0" collapsed="false">
      <c r="A265" s="6" t="s">
        <v>312</v>
      </c>
      <c r="B265" s="6" t="s">
        <v>2806</v>
      </c>
      <c r="C265" s="6" t="s">
        <v>2594</v>
      </c>
      <c r="D265" s="6" t="s">
        <v>2589</v>
      </c>
      <c r="E265" s="6" t="s">
        <v>2665</v>
      </c>
      <c r="F265" s="10" t="n">
        <v>222600</v>
      </c>
      <c r="G265" s="10" t="n">
        <v>4000000000</v>
      </c>
      <c r="H265" s="14" t="n">
        <v>0.33</v>
      </c>
      <c r="I265" s="9" t="s">
        <v>2807</v>
      </c>
      <c r="J265" s="6"/>
      <c r="K265" s="6" t="s">
        <v>2803</v>
      </c>
      <c r="L265" s="9" t="s">
        <v>2825</v>
      </c>
    </row>
    <row r="266" customFormat="false" ht="15" hidden="false" customHeight="false" outlineLevel="0" collapsed="false">
      <c r="A266" s="6" t="s">
        <v>312</v>
      </c>
      <c r="B266" s="6" t="s">
        <v>2806</v>
      </c>
      <c r="C266" s="6" t="s">
        <v>2594</v>
      </c>
      <c r="D266" s="6" t="s">
        <v>2589</v>
      </c>
      <c r="E266" s="6" t="s">
        <v>2665</v>
      </c>
      <c r="F266" s="10" t="n">
        <v>130000</v>
      </c>
      <c r="G266" s="10" t="n">
        <v>2000000000</v>
      </c>
      <c r="H266" s="14" t="n">
        <v>0.19</v>
      </c>
      <c r="I266" s="9" t="s">
        <v>2808</v>
      </c>
      <c r="J266" s="6"/>
      <c r="K266" s="6" t="s">
        <v>2803</v>
      </c>
      <c r="L266" s="9" t="s">
        <v>2825</v>
      </c>
    </row>
    <row r="267" customFormat="false" ht="15" hidden="false" customHeight="false" outlineLevel="0" collapsed="false">
      <c r="A267" s="6" t="s">
        <v>312</v>
      </c>
      <c r="B267" s="6" t="s">
        <v>2806</v>
      </c>
      <c r="C267" s="6" t="s">
        <v>2594</v>
      </c>
      <c r="D267" s="6" t="s">
        <v>2589</v>
      </c>
      <c r="E267" s="6" t="s">
        <v>2665</v>
      </c>
      <c r="F267" s="10" t="n">
        <v>320000</v>
      </c>
      <c r="G267" s="10" t="n">
        <v>10000000000</v>
      </c>
      <c r="H267" s="14" t="n">
        <v>0.47</v>
      </c>
      <c r="I267" s="9" t="s">
        <v>2809</v>
      </c>
      <c r="J267" s="6"/>
      <c r="K267" s="6" t="s">
        <v>2803</v>
      </c>
      <c r="L267" s="9" t="s">
        <v>2825</v>
      </c>
    </row>
    <row r="268" customFormat="false" ht="15" hidden="false" customHeight="false" outlineLevel="0" collapsed="false">
      <c r="A268" s="6" t="s">
        <v>312</v>
      </c>
      <c r="B268" s="6" t="s">
        <v>2806</v>
      </c>
      <c r="C268" s="6" t="s">
        <v>2594</v>
      </c>
      <c r="D268" s="6" t="s">
        <v>2589</v>
      </c>
      <c r="E268" s="6" t="s">
        <v>2665</v>
      </c>
      <c r="F268" s="10" t="n">
        <v>104000</v>
      </c>
      <c r="G268" s="10" t="n">
        <v>12570000000</v>
      </c>
      <c r="H268" s="14" t="n">
        <v>0.15</v>
      </c>
      <c r="I268" s="9" t="s">
        <v>2810</v>
      </c>
      <c r="J268" s="6"/>
      <c r="K268" s="6" t="s">
        <v>2803</v>
      </c>
      <c r="L268" s="9" t="s">
        <v>2825</v>
      </c>
    </row>
    <row r="269" customFormat="false" ht="15" hidden="false" customHeight="false" outlineLevel="0" collapsed="false">
      <c r="A269" s="6" t="s">
        <v>312</v>
      </c>
      <c r="B269" s="6" t="s">
        <v>2803</v>
      </c>
      <c r="C269" s="6" t="s">
        <v>2604</v>
      </c>
      <c r="D269" s="6" t="s">
        <v>2811</v>
      </c>
      <c r="E269" s="6" t="s">
        <v>2812</v>
      </c>
      <c r="F269" s="10" t="n">
        <v>362500</v>
      </c>
      <c r="G269" s="10"/>
      <c r="H269" s="14" t="n">
        <v>0.53</v>
      </c>
      <c r="I269" s="9" t="s">
        <v>2813</v>
      </c>
      <c r="J269" s="6"/>
      <c r="K269" s="6"/>
      <c r="L269" s="9" t="s">
        <v>2825</v>
      </c>
    </row>
    <row r="270" customFormat="false" ht="15" hidden="false" customHeight="false" outlineLevel="0" collapsed="false">
      <c r="A270" s="6" t="s">
        <v>312</v>
      </c>
      <c r="B270" s="6" t="s">
        <v>2803</v>
      </c>
      <c r="C270" s="6" t="s">
        <v>2604</v>
      </c>
      <c r="D270" s="6" t="s">
        <v>2811</v>
      </c>
      <c r="E270" s="6" t="s">
        <v>2814</v>
      </c>
      <c r="F270" s="10" t="n">
        <v>362500</v>
      </c>
      <c r="G270" s="10"/>
      <c r="H270" s="14" t="n">
        <v>0.53</v>
      </c>
      <c r="I270" s="9" t="s">
        <v>2813</v>
      </c>
      <c r="J270" s="6"/>
      <c r="K270" s="6"/>
      <c r="L270" s="9" t="s">
        <v>2825</v>
      </c>
    </row>
    <row r="271" customFormat="false" ht="15" hidden="false" customHeight="false" outlineLevel="0" collapsed="false">
      <c r="A271" s="6" t="s">
        <v>312</v>
      </c>
      <c r="B271" s="6" t="s">
        <v>2803</v>
      </c>
      <c r="C271" s="6" t="s">
        <v>2604</v>
      </c>
      <c r="D271" s="6" t="s">
        <v>2811</v>
      </c>
      <c r="E271" s="6" t="s">
        <v>2812</v>
      </c>
      <c r="F271" s="10" t="n">
        <v>250000</v>
      </c>
      <c r="G271" s="10"/>
      <c r="H271" s="14" t="n">
        <v>0.37</v>
      </c>
      <c r="I271" s="9" t="s">
        <v>2815</v>
      </c>
      <c r="J271" s="6"/>
      <c r="K271" s="6"/>
      <c r="L271" s="9" t="s">
        <v>2825</v>
      </c>
    </row>
    <row r="272" customFormat="false" ht="15" hidden="false" customHeight="false" outlineLevel="0" collapsed="false">
      <c r="A272" s="6" t="s">
        <v>312</v>
      </c>
      <c r="B272" s="6" t="s">
        <v>2803</v>
      </c>
      <c r="C272" s="6" t="s">
        <v>2604</v>
      </c>
      <c r="D272" s="6" t="s">
        <v>2811</v>
      </c>
      <c r="E272" s="6" t="s">
        <v>2814</v>
      </c>
      <c r="F272" s="10" t="n">
        <v>250000</v>
      </c>
      <c r="G272" s="10"/>
      <c r="H272" s="14" t="n">
        <v>0.37</v>
      </c>
      <c r="I272" s="9" t="s">
        <v>2815</v>
      </c>
      <c r="J272" s="6"/>
      <c r="K272" s="6"/>
      <c r="L272" s="9" t="s">
        <v>2825</v>
      </c>
    </row>
    <row r="273" customFormat="false" ht="15" hidden="false" customHeight="false" outlineLevel="0" collapsed="false">
      <c r="A273" s="6" t="s">
        <v>312</v>
      </c>
      <c r="B273" s="6" t="s">
        <v>2803</v>
      </c>
      <c r="C273" s="6" t="s">
        <v>2604</v>
      </c>
      <c r="D273" s="6" t="s">
        <v>2811</v>
      </c>
      <c r="E273" s="6" t="s">
        <v>2812</v>
      </c>
      <c r="F273" s="10" t="n">
        <v>16500</v>
      </c>
      <c r="G273" s="10"/>
      <c r="H273" s="14" t="n">
        <v>0.02</v>
      </c>
      <c r="I273" s="9" t="s">
        <v>2810</v>
      </c>
      <c r="J273" s="6"/>
      <c r="K273" s="6"/>
      <c r="L273" s="9" t="s">
        <v>2825</v>
      </c>
    </row>
    <row r="274" customFormat="false" ht="15" hidden="false" customHeight="false" outlineLevel="0" collapsed="false">
      <c r="A274" s="6" t="s">
        <v>312</v>
      </c>
      <c r="B274" s="6" t="s">
        <v>2803</v>
      </c>
      <c r="C274" s="6" t="s">
        <v>2604</v>
      </c>
      <c r="D274" s="6" t="s">
        <v>2811</v>
      </c>
      <c r="E274" s="6" t="s">
        <v>2814</v>
      </c>
      <c r="F274" s="10" t="n">
        <v>16500</v>
      </c>
      <c r="G274" s="10"/>
      <c r="H274" s="14" t="n">
        <v>0.02</v>
      </c>
      <c r="I274" s="9" t="s">
        <v>2810</v>
      </c>
      <c r="J274" s="6"/>
      <c r="K274" s="6"/>
      <c r="L274" s="9" t="s">
        <v>2825</v>
      </c>
    </row>
    <row r="275" customFormat="false" ht="15" hidden="false" customHeight="false" outlineLevel="0" collapsed="false">
      <c r="A275" s="6" t="s">
        <v>312</v>
      </c>
      <c r="B275" s="6" t="s">
        <v>2803</v>
      </c>
      <c r="C275" s="6" t="s">
        <v>2604</v>
      </c>
      <c r="D275" s="6" t="s">
        <v>2811</v>
      </c>
      <c r="E275" s="6" t="s">
        <v>2812</v>
      </c>
      <c r="F275" s="10" t="n">
        <v>80000</v>
      </c>
      <c r="G275" s="10"/>
      <c r="H275" s="14" t="n">
        <v>0.12</v>
      </c>
      <c r="I275" s="9" t="s">
        <v>2816</v>
      </c>
      <c r="J275" s="6"/>
      <c r="K275" s="6"/>
      <c r="L275" s="9" t="s">
        <v>2825</v>
      </c>
    </row>
    <row r="276" customFormat="false" ht="15" hidden="false" customHeight="false" outlineLevel="0" collapsed="false">
      <c r="A276" s="6" t="s">
        <v>312</v>
      </c>
      <c r="B276" s="6" t="s">
        <v>2803</v>
      </c>
      <c r="C276" s="6" t="s">
        <v>2604</v>
      </c>
      <c r="D276" s="6" t="s">
        <v>2811</v>
      </c>
      <c r="E276" s="6" t="s">
        <v>2814</v>
      </c>
      <c r="F276" s="10" t="n">
        <v>80000</v>
      </c>
      <c r="G276" s="10"/>
      <c r="H276" s="14" t="n">
        <v>0.12</v>
      </c>
      <c r="I276" s="9" t="s">
        <v>2816</v>
      </c>
      <c r="J276" s="6"/>
      <c r="K276" s="6"/>
      <c r="L276" s="9" t="s">
        <v>2825</v>
      </c>
    </row>
    <row r="277" customFormat="false" ht="15" hidden="false" customHeight="false" outlineLevel="0" collapsed="false">
      <c r="A277" s="6" t="s">
        <v>312</v>
      </c>
      <c r="B277" s="6" t="s">
        <v>2803</v>
      </c>
      <c r="C277" s="6" t="s">
        <v>2604</v>
      </c>
      <c r="D277" s="6" t="s">
        <v>2589</v>
      </c>
      <c r="E277" s="6" t="s">
        <v>2665</v>
      </c>
      <c r="F277" s="10" t="n">
        <v>300000</v>
      </c>
      <c r="G277" s="10"/>
      <c r="H277" s="14" t="n">
        <v>0.44</v>
      </c>
      <c r="I277" s="9" t="s">
        <v>2817</v>
      </c>
      <c r="J277" s="6"/>
      <c r="K277" s="6"/>
      <c r="L277" s="9" t="s">
        <v>2825</v>
      </c>
    </row>
    <row r="278" customFormat="false" ht="15" hidden="false" customHeight="false" outlineLevel="0" collapsed="false">
      <c r="A278" s="6" t="s">
        <v>312</v>
      </c>
      <c r="B278" s="6" t="s">
        <v>2818</v>
      </c>
      <c r="C278" s="6" t="s">
        <v>2594</v>
      </c>
      <c r="D278" s="6" t="s">
        <v>2819</v>
      </c>
      <c r="E278" s="9" t="s">
        <v>2820</v>
      </c>
      <c r="F278" s="10" t="n">
        <v>265542</v>
      </c>
      <c r="G278" s="10"/>
      <c r="H278" s="14" t="n">
        <v>0.39</v>
      </c>
      <c r="I278" s="9" t="s">
        <v>2217</v>
      </c>
      <c r="J278" s="6"/>
      <c r="K278" s="6"/>
      <c r="L278" s="9" t="s">
        <v>2825</v>
      </c>
    </row>
    <row r="279" customFormat="false" ht="15" hidden="false" customHeight="false" outlineLevel="0" collapsed="false">
      <c r="A279" s="6" t="s">
        <v>312</v>
      </c>
      <c r="B279" s="6" t="s">
        <v>2821</v>
      </c>
      <c r="C279" s="6" t="s">
        <v>2594</v>
      </c>
      <c r="D279" s="6" t="s">
        <v>2819</v>
      </c>
      <c r="E279" s="9" t="s">
        <v>2820</v>
      </c>
      <c r="F279" s="10" t="n">
        <v>695823</v>
      </c>
      <c r="G279" s="10"/>
      <c r="H279" s="14" t="n">
        <v>1.02</v>
      </c>
      <c r="I279" s="9" t="s">
        <v>2217</v>
      </c>
      <c r="J279" s="6"/>
      <c r="K279" s="6"/>
      <c r="L279" s="9" t="s">
        <v>2825</v>
      </c>
    </row>
    <row r="280" customFormat="false" ht="15" hidden="false" customHeight="false" outlineLevel="0" collapsed="false">
      <c r="A280" s="6" t="s">
        <v>312</v>
      </c>
      <c r="B280" s="6" t="s">
        <v>2822</v>
      </c>
      <c r="C280" s="6" t="s">
        <v>2594</v>
      </c>
      <c r="D280" s="6" t="s">
        <v>2819</v>
      </c>
      <c r="E280" s="9" t="s">
        <v>2820</v>
      </c>
      <c r="F280" s="10" t="n">
        <v>738263</v>
      </c>
      <c r="G280" s="10"/>
      <c r="H280" s="14" t="n">
        <v>1.08</v>
      </c>
      <c r="I280" s="9" t="s">
        <v>2217</v>
      </c>
      <c r="J280" s="6"/>
      <c r="K280" s="6"/>
      <c r="L280" s="9" t="s">
        <v>2825</v>
      </c>
    </row>
    <row r="281" customFormat="false" ht="15" hidden="false" customHeight="false" outlineLevel="0" collapsed="false">
      <c r="A281" s="6" t="s">
        <v>312</v>
      </c>
      <c r="B281" s="6" t="s">
        <v>2823</v>
      </c>
      <c r="C281" s="6" t="s">
        <v>2594</v>
      </c>
      <c r="D281" s="6" t="s">
        <v>2819</v>
      </c>
      <c r="E281" s="9" t="s">
        <v>2820</v>
      </c>
      <c r="F281" s="10" t="n">
        <v>738263</v>
      </c>
      <c r="G281" s="10"/>
      <c r="H281" s="14" t="n">
        <v>1.08</v>
      </c>
      <c r="I281" s="9" t="s">
        <v>2217</v>
      </c>
      <c r="J281" s="6"/>
      <c r="K281" s="6"/>
      <c r="L281" s="9" t="s">
        <v>2825</v>
      </c>
    </row>
    <row r="282" customFormat="false" ht="15" hidden="false" customHeight="false" outlineLevel="0" collapsed="false">
      <c r="A282" s="6" t="s">
        <v>312</v>
      </c>
      <c r="B282" s="6" t="s">
        <v>2803</v>
      </c>
      <c r="C282" s="6" t="s">
        <v>2604</v>
      </c>
      <c r="D282" s="6" t="s">
        <v>2589</v>
      </c>
      <c r="E282" s="6" t="s">
        <v>2665</v>
      </c>
      <c r="F282" s="10" t="n">
        <v>200000</v>
      </c>
      <c r="G282" s="10"/>
      <c r="H282" s="14" t="n">
        <v>0.29</v>
      </c>
      <c r="I282" s="9" t="s">
        <v>2352</v>
      </c>
      <c r="J282" s="6"/>
      <c r="K282" s="6"/>
      <c r="L282" s="9" t="s">
        <v>2825</v>
      </c>
    </row>
    <row r="283" customFormat="false" ht="15" hidden="false" customHeight="false" outlineLevel="0" collapsed="false">
      <c r="A283" s="6" t="s">
        <v>312</v>
      </c>
      <c r="B283" s="6" t="s">
        <v>2803</v>
      </c>
      <c r="C283" s="6" t="s">
        <v>2604</v>
      </c>
      <c r="D283" s="6" t="s">
        <v>2589</v>
      </c>
      <c r="E283" s="6" t="s">
        <v>2672</v>
      </c>
      <c r="F283" s="10" t="n">
        <v>161307</v>
      </c>
      <c r="G283" s="10"/>
      <c r="H283" s="14" t="n">
        <v>0.24</v>
      </c>
      <c r="I283" s="9" t="s">
        <v>2175</v>
      </c>
      <c r="J283" s="6"/>
      <c r="K283" s="6"/>
      <c r="L283" s="9" t="s">
        <v>2825</v>
      </c>
    </row>
    <row r="284" customFormat="false" ht="15" hidden="false" customHeight="false" outlineLevel="0" collapsed="false">
      <c r="A284" s="6" t="s">
        <v>312</v>
      </c>
      <c r="B284" s="6" t="s">
        <v>2803</v>
      </c>
      <c r="C284" s="6" t="s">
        <v>2604</v>
      </c>
      <c r="D284" s="6" t="s">
        <v>2589</v>
      </c>
      <c r="E284" s="6" t="s">
        <v>2665</v>
      </c>
      <c r="F284" s="10" t="n">
        <v>360000</v>
      </c>
      <c r="G284" s="10"/>
      <c r="H284" s="14" t="n">
        <v>0.53</v>
      </c>
      <c r="I284" s="9" t="s">
        <v>2824</v>
      </c>
      <c r="J284" s="6"/>
      <c r="K284" s="6"/>
      <c r="L284" s="9" t="s">
        <v>2825</v>
      </c>
    </row>
    <row r="285" customFormat="false" ht="15" hidden="false" customHeight="false" outlineLevel="0" collapsed="false">
      <c r="A285" s="6" t="s">
        <v>296</v>
      </c>
      <c r="B285" s="6" t="s">
        <v>2827</v>
      </c>
      <c r="C285" s="6" t="s">
        <v>2594</v>
      </c>
      <c r="D285" s="6" t="s">
        <v>2828</v>
      </c>
      <c r="E285" s="6" t="s">
        <v>2829</v>
      </c>
      <c r="F285" s="10" t="n">
        <v>406600</v>
      </c>
      <c r="G285" s="10" t="n">
        <v>5497</v>
      </c>
      <c r="H285" s="14" t="n">
        <v>0.45</v>
      </c>
      <c r="I285" s="9" t="s">
        <v>2388</v>
      </c>
      <c r="J285" s="6"/>
      <c r="K285" s="6" t="s">
        <v>2827</v>
      </c>
      <c r="L285" s="9" t="s">
        <v>1921</v>
      </c>
    </row>
    <row r="286" customFormat="false" ht="15" hidden="false" customHeight="false" outlineLevel="0" collapsed="false">
      <c r="A286" s="6" t="s">
        <v>296</v>
      </c>
      <c r="B286" s="6" t="s">
        <v>2830</v>
      </c>
      <c r="C286" s="6" t="s">
        <v>2604</v>
      </c>
      <c r="D286" s="6" t="s">
        <v>2828</v>
      </c>
      <c r="E286" s="6" t="s">
        <v>2829</v>
      </c>
      <c r="F286" s="10" t="n">
        <v>1293400</v>
      </c>
      <c r="G286" s="10" t="n">
        <v>17503</v>
      </c>
      <c r="H286" s="14" t="n">
        <v>1.45</v>
      </c>
      <c r="I286" s="9" t="s">
        <v>2388</v>
      </c>
      <c r="J286" s="6"/>
      <c r="K286" s="6" t="s">
        <v>2827</v>
      </c>
      <c r="L286" s="9" t="s">
        <v>1921</v>
      </c>
    </row>
    <row r="287" customFormat="false" ht="15" hidden="false" customHeight="false" outlineLevel="0" collapsed="false">
      <c r="A287" s="6" t="s">
        <v>296</v>
      </c>
      <c r="B287" s="6" t="s">
        <v>2827</v>
      </c>
      <c r="C287" s="6" t="s">
        <v>2594</v>
      </c>
      <c r="D287" s="6" t="s">
        <v>2828</v>
      </c>
      <c r="E287" s="6" t="s">
        <v>2831</v>
      </c>
      <c r="F287" s="10" t="n">
        <v>406600</v>
      </c>
      <c r="G287" s="10" t="n">
        <v>5497</v>
      </c>
      <c r="H287" s="14" t="n">
        <v>0.48</v>
      </c>
      <c r="I287" s="9" t="s">
        <v>2388</v>
      </c>
      <c r="J287" s="6"/>
      <c r="K287" s="6" t="s">
        <v>2827</v>
      </c>
      <c r="L287" s="9" t="s">
        <v>2832</v>
      </c>
    </row>
    <row r="288" customFormat="false" ht="15" hidden="false" customHeight="false" outlineLevel="0" collapsed="false">
      <c r="A288" s="6" t="s">
        <v>296</v>
      </c>
      <c r="B288" s="6" t="s">
        <v>2830</v>
      </c>
      <c r="C288" s="6" t="s">
        <v>2604</v>
      </c>
      <c r="D288" s="6" t="s">
        <v>2828</v>
      </c>
      <c r="E288" s="6" t="s">
        <v>2831</v>
      </c>
      <c r="F288" s="10" t="n">
        <v>1293400</v>
      </c>
      <c r="G288" s="10" t="n">
        <v>17503</v>
      </c>
      <c r="H288" s="14" t="n">
        <v>1.51</v>
      </c>
      <c r="I288" s="9" t="s">
        <v>2388</v>
      </c>
      <c r="J288" s="6"/>
      <c r="K288" s="6" t="s">
        <v>2827</v>
      </c>
      <c r="L288" s="9" t="s">
        <v>2832</v>
      </c>
    </row>
    <row r="289" customFormat="false" ht="15" hidden="false" customHeight="false" outlineLevel="0" collapsed="false">
      <c r="A289" s="6" t="s">
        <v>96</v>
      </c>
      <c r="B289" s="6" t="s">
        <v>2833</v>
      </c>
      <c r="C289" s="6" t="s">
        <v>2604</v>
      </c>
      <c r="D289" s="6" t="s">
        <v>2730</v>
      </c>
      <c r="E289" s="6" t="s">
        <v>2834</v>
      </c>
      <c r="F289" s="10" t="n">
        <v>450000</v>
      </c>
      <c r="G289" s="10"/>
      <c r="H289" s="14" t="n">
        <v>2.42</v>
      </c>
      <c r="I289" s="9" t="s">
        <v>2835</v>
      </c>
      <c r="J289" s="6"/>
      <c r="K289" s="6"/>
      <c r="L289" s="9" t="s">
        <v>2059</v>
      </c>
    </row>
    <row r="290" customFormat="false" ht="15" hidden="false" customHeight="false" outlineLevel="0" collapsed="false">
      <c r="A290" s="6" t="s">
        <v>417</v>
      </c>
      <c r="B290" s="6" t="s">
        <v>2836</v>
      </c>
      <c r="C290" s="6" t="s">
        <v>2594</v>
      </c>
      <c r="D290" s="6" t="s">
        <v>2641</v>
      </c>
      <c r="E290" s="6" t="s">
        <v>2837</v>
      </c>
      <c r="F290" s="10"/>
      <c r="G290" s="10"/>
      <c r="H290" s="14"/>
      <c r="I290" s="9" t="s">
        <v>2838</v>
      </c>
      <c r="J290" s="6"/>
      <c r="K290" s="6"/>
      <c r="L290" s="9" t="s">
        <v>2084</v>
      </c>
    </row>
    <row r="291" customFormat="false" ht="15" hidden="false" customHeight="false" outlineLevel="0" collapsed="false">
      <c r="A291" s="6" t="s">
        <v>417</v>
      </c>
      <c r="B291" s="6" t="s">
        <v>2822</v>
      </c>
      <c r="C291" s="6" t="s">
        <v>2594</v>
      </c>
      <c r="D291" s="6" t="s">
        <v>2641</v>
      </c>
      <c r="E291" s="6" t="s">
        <v>2837</v>
      </c>
      <c r="F291" s="10"/>
      <c r="G291" s="10"/>
      <c r="H291" s="14"/>
      <c r="I291" s="9" t="s">
        <v>2838</v>
      </c>
      <c r="J291" s="6"/>
      <c r="K291" s="6"/>
      <c r="L291" s="9" t="s">
        <v>2084</v>
      </c>
    </row>
    <row r="292" customFormat="false" ht="15" hidden="false" customHeight="false" outlineLevel="0" collapsed="false">
      <c r="A292" s="6" t="s">
        <v>417</v>
      </c>
      <c r="B292" s="6" t="s">
        <v>2839</v>
      </c>
      <c r="C292" s="6" t="s">
        <v>2594</v>
      </c>
      <c r="D292" s="6" t="s">
        <v>2641</v>
      </c>
      <c r="E292" s="6" t="s">
        <v>2837</v>
      </c>
      <c r="F292" s="10"/>
      <c r="G292" s="10"/>
      <c r="H292" s="14"/>
      <c r="I292" s="9" t="s">
        <v>2838</v>
      </c>
      <c r="J292" s="6"/>
      <c r="K292" s="6"/>
      <c r="L292" s="9" t="s">
        <v>2084</v>
      </c>
    </row>
    <row r="293" customFormat="false" ht="15" hidden="false" customHeight="false" outlineLevel="0" collapsed="false">
      <c r="A293" s="6" t="s">
        <v>417</v>
      </c>
      <c r="B293" s="6" t="s">
        <v>2840</v>
      </c>
      <c r="C293" s="6" t="s">
        <v>2594</v>
      </c>
      <c r="D293" s="6" t="s">
        <v>2641</v>
      </c>
      <c r="E293" s="6" t="s">
        <v>2837</v>
      </c>
      <c r="F293" s="10"/>
      <c r="G293" s="10"/>
      <c r="H293" s="14"/>
      <c r="I293" s="9" t="s">
        <v>2838</v>
      </c>
      <c r="J293" s="6"/>
      <c r="K293" s="6"/>
      <c r="L293" s="9" t="s">
        <v>2084</v>
      </c>
    </row>
    <row r="294" customFormat="false" ht="15" hidden="false" customHeight="false" outlineLevel="0" collapsed="false">
      <c r="A294" s="6" t="s">
        <v>417</v>
      </c>
      <c r="B294" s="6" t="s">
        <v>2841</v>
      </c>
      <c r="C294" s="6" t="s">
        <v>2594</v>
      </c>
      <c r="D294" s="6" t="s">
        <v>2641</v>
      </c>
      <c r="E294" s="6" t="s">
        <v>2837</v>
      </c>
      <c r="F294" s="10"/>
      <c r="G294" s="10"/>
      <c r="H294" s="14"/>
      <c r="I294" s="9" t="s">
        <v>2838</v>
      </c>
      <c r="J294" s="6"/>
      <c r="K294" s="6"/>
      <c r="L294" s="9" t="s">
        <v>2084</v>
      </c>
    </row>
    <row r="295" customFormat="false" ht="15" hidden="false" customHeight="false" outlineLevel="0" collapsed="false">
      <c r="A295" s="9" t="s">
        <v>196</v>
      </c>
      <c r="B295" s="6" t="s">
        <v>2842</v>
      </c>
      <c r="C295" s="6" t="s">
        <v>2604</v>
      </c>
      <c r="D295" s="6" t="s">
        <v>2589</v>
      </c>
      <c r="E295" s="6" t="s">
        <v>2665</v>
      </c>
      <c r="F295" s="10" t="n">
        <v>1793305</v>
      </c>
      <c r="G295" s="10" t="n">
        <v>400000000000</v>
      </c>
      <c r="H295" s="14" t="n">
        <v>2.47</v>
      </c>
      <c r="I295" s="9" t="s">
        <v>2843</v>
      </c>
      <c r="J295" s="6"/>
      <c r="K295" s="9" t="s">
        <v>2645</v>
      </c>
      <c r="L295" s="9" t="s">
        <v>1834</v>
      </c>
    </row>
    <row r="296" customFormat="false" ht="15" hidden="false" customHeight="false" outlineLevel="0" collapsed="false">
      <c r="A296" s="9" t="s">
        <v>196</v>
      </c>
      <c r="B296" s="6" t="s">
        <v>2842</v>
      </c>
      <c r="C296" s="6" t="s">
        <v>2604</v>
      </c>
      <c r="D296" s="6" t="s">
        <v>2641</v>
      </c>
      <c r="E296" s="6" t="s">
        <v>2626</v>
      </c>
      <c r="F296" s="10" t="n">
        <v>340276</v>
      </c>
      <c r="G296" s="10" t="n">
        <v>36500000000</v>
      </c>
      <c r="H296" s="14" t="n">
        <v>0.47</v>
      </c>
      <c r="I296" s="9" t="s">
        <v>2844</v>
      </c>
      <c r="J296" s="6"/>
      <c r="K296" s="9" t="s">
        <v>2645</v>
      </c>
      <c r="L296" s="9" t="s">
        <v>1834</v>
      </c>
    </row>
    <row r="297" customFormat="false" ht="15" hidden="false" customHeight="false" outlineLevel="0" collapsed="false">
      <c r="A297" s="9" t="s">
        <v>196</v>
      </c>
      <c r="B297" s="6" t="s">
        <v>2842</v>
      </c>
      <c r="C297" s="6" t="s">
        <v>2604</v>
      </c>
      <c r="D297" s="6" t="s">
        <v>2641</v>
      </c>
      <c r="E297" s="6" t="s">
        <v>2845</v>
      </c>
      <c r="F297" s="10" t="n">
        <v>1193535</v>
      </c>
      <c r="G297" s="10"/>
      <c r="H297" s="14" t="n">
        <v>1.65</v>
      </c>
      <c r="I297" s="9" t="s">
        <v>2846</v>
      </c>
      <c r="J297" s="6"/>
      <c r="K297" s="6"/>
      <c r="L297" s="9" t="s">
        <v>1834</v>
      </c>
    </row>
    <row r="298" customFormat="false" ht="15" hidden="false" customHeight="false" outlineLevel="0" collapsed="false">
      <c r="A298" s="9" t="s">
        <v>196</v>
      </c>
      <c r="B298" s="6" t="s">
        <v>2842</v>
      </c>
      <c r="C298" s="6" t="s">
        <v>2604</v>
      </c>
      <c r="D298" s="6" t="s">
        <v>2641</v>
      </c>
      <c r="E298" s="6" t="s">
        <v>2847</v>
      </c>
      <c r="F298" s="10" t="n">
        <v>615918</v>
      </c>
      <c r="G298" s="10"/>
      <c r="H298" s="14" t="n">
        <v>0.85</v>
      </c>
      <c r="I298" s="9" t="s">
        <v>2846</v>
      </c>
      <c r="J298" s="6"/>
      <c r="K298" s="6"/>
      <c r="L298" s="9" t="s">
        <v>1834</v>
      </c>
    </row>
    <row r="299" customFormat="false" ht="15" hidden="false" customHeight="false" outlineLevel="0" collapsed="false">
      <c r="A299" s="9" t="s">
        <v>196</v>
      </c>
      <c r="B299" s="6" t="s">
        <v>2842</v>
      </c>
      <c r="C299" s="6" t="s">
        <v>2604</v>
      </c>
      <c r="D299" s="6" t="s">
        <v>2589</v>
      </c>
      <c r="E299" s="6" t="s">
        <v>2667</v>
      </c>
      <c r="F299" s="10" t="n">
        <v>271163</v>
      </c>
      <c r="G299" s="10" t="n">
        <v>53000000000</v>
      </c>
      <c r="H299" s="14" t="n">
        <v>0.37</v>
      </c>
      <c r="I299" s="9" t="s">
        <v>2419</v>
      </c>
      <c r="J299" s="6"/>
      <c r="K299" s="9" t="s">
        <v>2645</v>
      </c>
      <c r="L299" s="9" t="s">
        <v>1834</v>
      </c>
    </row>
    <row r="300" customFormat="false" ht="15" hidden="false" customHeight="false" outlineLevel="0" collapsed="false">
      <c r="A300" s="9" t="s">
        <v>196</v>
      </c>
      <c r="B300" s="6" t="s">
        <v>2848</v>
      </c>
      <c r="C300" s="6" t="s">
        <v>2594</v>
      </c>
      <c r="D300" s="6" t="s">
        <v>2589</v>
      </c>
      <c r="E300" s="6" t="s">
        <v>2665</v>
      </c>
      <c r="F300" s="10" t="n">
        <v>680000</v>
      </c>
      <c r="G300" s="10" t="n">
        <v>29500000000</v>
      </c>
      <c r="H300" s="14" t="n">
        <v>0.94</v>
      </c>
      <c r="I300" s="9" t="s">
        <v>2642</v>
      </c>
      <c r="J300" s="6"/>
      <c r="K300" s="9" t="s">
        <v>2645</v>
      </c>
      <c r="L300" s="9" t="s">
        <v>1834</v>
      </c>
    </row>
    <row r="301" customFormat="false" ht="15" hidden="false" customHeight="false" outlineLevel="0" collapsed="false">
      <c r="A301" s="9" t="s">
        <v>196</v>
      </c>
      <c r="B301" s="6" t="s">
        <v>2848</v>
      </c>
      <c r="C301" s="6" t="s">
        <v>2594</v>
      </c>
      <c r="D301" s="6" t="s">
        <v>2589</v>
      </c>
      <c r="E301" s="6" t="s">
        <v>2750</v>
      </c>
      <c r="F301" s="10" t="n">
        <v>173150</v>
      </c>
      <c r="G301" s="10" t="n">
        <v>23000000000</v>
      </c>
      <c r="H301" s="14" t="n">
        <v>0.24</v>
      </c>
      <c r="I301" s="9" t="s">
        <v>2849</v>
      </c>
      <c r="J301" s="6"/>
      <c r="K301" s="9" t="s">
        <v>2645</v>
      </c>
      <c r="L301" s="9" t="s">
        <v>1834</v>
      </c>
    </row>
    <row r="302" customFormat="false" ht="15" hidden="false" customHeight="false" outlineLevel="0" collapsed="false">
      <c r="A302" s="9" t="s">
        <v>196</v>
      </c>
      <c r="B302" s="6" t="s">
        <v>2848</v>
      </c>
      <c r="C302" s="6" t="s">
        <v>2594</v>
      </c>
      <c r="D302" s="6" t="s">
        <v>2589</v>
      </c>
      <c r="E302" s="9" t="s">
        <v>2850</v>
      </c>
      <c r="F302" s="10" t="n">
        <v>217744</v>
      </c>
      <c r="G302" s="10" t="n">
        <v>29000000000</v>
      </c>
      <c r="H302" s="14" t="n">
        <v>0.3</v>
      </c>
      <c r="I302" s="9" t="s">
        <v>2851</v>
      </c>
      <c r="J302" s="6"/>
      <c r="K302" s="9" t="s">
        <v>2645</v>
      </c>
      <c r="L302" s="9" t="s">
        <v>1834</v>
      </c>
    </row>
    <row r="303" customFormat="false" ht="15" hidden="false" customHeight="false" outlineLevel="0" collapsed="false">
      <c r="A303" s="9" t="s">
        <v>196</v>
      </c>
      <c r="B303" s="6" t="s">
        <v>2852</v>
      </c>
      <c r="C303" s="6" t="s">
        <v>2594</v>
      </c>
      <c r="D303" s="6" t="s">
        <v>2589</v>
      </c>
      <c r="E303" s="6" t="s">
        <v>2672</v>
      </c>
      <c r="F303" s="10" t="n">
        <v>9288</v>
      </c>
      <c r="G303" s="10" t="n">
        <v>802710637</v>
      </c>
      <c r="H303" s="14" t="n">
        <v>0.01</v>
      </c>
      <c r="I303" s="9" t="s">
        <v>2221</v>
      </c>
      <c r="J303" s="6"/>
      <c r="K303" s="9" t="s">
        <v>2645</v>
      </c>
      <c r="L303" s="9" t="s">
        <v>1834</v>
      </c>
    </row>
    <row r="304" customFormat="false" ht="15" hidden="false" customHeight="false" outlineLevel="0" collapsed="false">
      <c r="A304" s="9" t="s">
        <v>196</v>
      </c>
      <c r="B304" s="9" t="s">
        <v>2853</v>
      </c>
      <c r="C304" s="6" t="s">
        <v>2594</v>
      </c>
      <c r="D304" s="6" t="s">
        <v>2589</v>
      </c>
      <c r="E304" s="6" t="s">
        <v>2854</v>
      </c>
      <c r="F304" s="10" t="n">
        <v>12100</v>
      </c>
      <c r="G304" s="10" t="n">
        <v>1400000000</v>
      </c>
      <c r="H304" s="14" t="n">
        <v>0.02</v>
      </c>
      <c r="I304" s="9" t="s">
        <v>2751</v>
      </c>
      <c r="J304" s="6"/>
      <c r="K304" s="9" t="s">
        <v>2645</v>
      </c>
      <c r="L304" s="9" t="s">
        <v>1834</v>
      </c>
    </row>
    <row r="305" customFormat="false" ht="15" hidden="false" customHeight="false" outlineLevel="0" collapsed="false">
      <c r="A305" s="9" t="s">
        <v>196</v>
      </c>
      <c r="B305" s="6" t="s">
        <v>2842</v>
      </c>
      <c r="C305" s="6" t="s">
        <v>2604</v>
      </c>
      <c r="D305" s="6" t="s">
        <v>2589</v>
      </c>
      <c r="E305" s="6" t="s">
        <v>2665</v>
      </c>
      <c r="F305" s="10" t="n">
        <v>1184616</v>
      </c>
      <c r="G305" s="10" t="n">
        <v>400000000000</v>
      </c>
      <c r="H305" s="14" t="n">
        <v>1.63</v>
      </c>
      <c r="I305" s="9" t="s">
        <v>2843</v>
      </c>
      <c r="J305" s="6"/>
      <c r="K305" s="9" t="s">
        <v>2645</v>
      </c>
      <c r="L305" s="9" t="s">
        <v>2855</v>
      </c>
    </row>
    <row r="306" customFormat="false" ht="15" hidden="false" customHeight="false" outlineLevel="0" collapsed="false">
      <c r="A306" s="9" t="s">
        <v>196</v>
      </c>
      <c r="B306" s="6" t="s">
        <v>2842</v>
      </c>
      <c r="C306" s="6" t="s">
        <v>2604</v>
      </c>
      <c r="D306" s="6" t="s">
        <v>2641</v>
      </c>
      <c r="E306" s="6" t="s">
        <v>2626</v>
      </c>
      <c r="F306" s="10" t="n">
        <v>340276</v>
      </c>
      <c r="G306" s="10" t="n">
        <v>36500000000</v>
      </c>
      <c r="H306" s="14" t="n">
        <v>0.47</v>
      </c>
      <c r="I306" s="9" t="s">
        <v>2844</v>
      </c>
      <c r="J306" s="6"/>
      <c r="K306" s="9" t="s">
        <v>2645</v>
      </c>
      <c r="L306" s="9" t="s">
        <v>2855</v>
      </c>
    </row>
    <row r="307" customFormat="false" ht="15" hidden="false" customHeight="false" outlineLevel="0" collapsed="false">
      <c r="A307" s="9" t="s">
        <v>196</v>
      </c>
      <c r="B307" s="6" t="s">
        <v>2842</v>
      </c>
      <c r="C307" s="6" t="s">
        <v>2604</v>
      </c>
      <c r="D307" s="6" t="s">
        <v>2641</v>
      </c>
      <c r="E307" s="6" t="s">
        <v>2845</v>
      </c>
      <c r="F307" s="10" t="n">
        <v>794213</v>
      </c>
      <c r="G307" s="10"/>
      <c r="H307" s="14" t="n">
        <v>1.1</v>
      </c>
      <c r="I307" s="9" t="s">
        <v>2846</v>
      </c>
      <c r="J307" s="6"/>
      <c r="K307" s="6"/>
      <c r="L307" s="9" t="s">
        <v>2855</v>
      </c>
    </row>
    <row r="308" customFormat="false" ht="15" hidden="false" customHeight="false" outlineLevel="0" collapsed="false">
      <c r="A308" s="9" t="s">
        <v>196</v>
      </c>
      <c r="B308" s="6" t="s">
        <v>2842</v>
      </c>
      <c r="C308" s="6" t="s">
        <v>2604</v>
      </c>
      <c r="D308" s="6" t="s">
        <v>2641</v>
      </c>
      <c r="E308" s="6" t="s">
        <v>2847</v>
      </c>
      <c r="F308" s="10" t="n">
        <v>409850</v>
      </c>
      <c r="G308" s="10"/>
      <c r="H308" s="14" t="n">
        <v>0.57</v>
      </c>
      <c r="I308" s="9" t="s">
        <v>2846</v>
      </c>
      <c r="J308" s="6"/>
      <c r="K308" s="6"/>
      <c r="L308" s="9" t="s">
        <v>2855</v>
      </c>
    </row>
    <row r="309" customFormat="false" ht="15" hidden="false" customHeight="false" outlineLevel="0" collapsed="false">
      <c r="A309" s="9" t="s">
        <v>196</v>
      </c>
      <c r="B309" s="6" t="s">
        <v>2848</v>
      </c>
      <c r="C309" s="6" t="s">
        <v>2594</v>
      </c>
      <c r="D309" s="6" t="s">
        <v>2589</v>
      </c>
      <c r="E309" s="6" t="s">
        <v>2665</v>
      </c>
      <c r="F309" s="10" t="n">
        <v>680000</v>
      </c>
      <c r="G309" s="10" t="n">
        <v>29500000000</v>
      </c>
      <c r="H309" s="14" t="n">
        <v>0.94</v>
      </c>
      <c r="I309" s="9" t="s">
        <v>2856</v>
      </c>
      <c r="J309" s="6"/>
      <c r="K309" s="9" t="s">
        <v>2645</v>
      </c>
      <c r="L309" s="9" t="s">
        <v>2855</v>
      </c>
    </row>
    <row r="310" customFormat="false" ht="15" hidden="false" customHeight="false" outlineLevel="0" collapsed="false">
      <c r="A310" s="9" t="s">
        <v>196</v>
      </c>
      <c r="B310" s="6" t="s">
        <v>2848</v>
      </c>
      <c r="C310" s="6" t="s">
        <v>2594</v>
      </c>
      <c r="D310" s="6" t="s">
        <v>2589</v>
      </c>
      <c r="E310" s="6" t="s">
        <v>2750</v>
      </c>
      <c r="F310" s="10" t="n">
        <v>112512</v>
      </c>
      <c r="G310" s="10" t="n">
        <v>16000023100</v>
      </c>
      <c r="H310" s="14" t="n">
        <v>0.16</v>
      </c>
      <c r="I310" s="9" t="s">
        <v>2400</v>
      </c>
      <c r="J310" s="6"/>
      <c r="K310" s="9" t="s">
        <v>2645</v>
      </c>
      <c r="L310" s="9" t="s">
        <v>2855</v>
      </c>
    </row>
    <row r="311" customFormat="false" ht="15" hidden="false" customHeight="false" outlineLevel="0" collapsed="false">
      <c r="A311" s="9" t="s">
        <v>196</v>
      </c>
      <c r="B311" s="6" t="s">
        <v>2848</v>
      </c>
      <c r="C311" s="6" t="s">
        <v>2594</v>
      </c>
      <c r="D311" s="6" t="s">
        <v>2589</v>
      </c>
      <c r="E311" s="9" t="s">
        <v>2850</v>
      </c>
      <c r="F311" s="10" t="n">
        <v>80146</v>
      </c>
      <c r="G311" s="10" t="n">
        <v>15000061200</v>
      </c>
      <c r="H311" s="14" t="n">
        <v>0.11</v>
      </c>
      <c r="I311" s="9" t="s">
        <v>2851</v>
      </c>
      <c r="J311" s="6"/>
      <c r="K311" s="9" t="s">
        <v>2645</v>
      </c>
      <c r="L311" s="9" t="s">
        <v>2855</v>
      </c>
    </row>
    <row r="312" customFormat="false" ht="15" hidden="false" customHeight="false" outlineLevel="0" collapsed="false">
      <c r="A312" s="9" t="s">
        <v>196</v>
      </c>
      <c r="B312" s="6" t="s">
        <v>2852</v>
      </c>
      <c r="C312" s="6" t="s">
        <v>2594</v>
      </c>
      <c r="D312" s="6" t="s">
        <v>2589</v>
      </c>
      <c r="E312" s="6" t="s">
        <v>2672</v>
      </c>
      <c r="F312" s="10" t="n">
        <v>9288</v>
      </c>
      <c r="G312" s="10" t="n">
        <v>802710637</v>
      </c>
      <c r="H312" s="14" t="n">
        <v>0.01</v>
      </c>
      <c r="I312" s="9" t="s">
        <v>2221</v>
      </c>
      <c r="J312" s="6"/>
      <c r="K312" s="9" t="s">
        <v>2645</v>
      </c>
      <c r="L312" s="9" t="s">
        <v>2855</v>
      </c>
    </row>
    <row r="313" customFormat="false" ht="15" hidden="false" customHeight="false" outlineLevel="0" collapsed="false">
      <c r="A313" s="9" t="s">
        <v>196</v>
      </c>
      <c r="B313" s="9" t="s">
        <v>2853</v>
      </c>
      <c r="C313" s="6" t="s">
        <v>2594</v>
      </c>
      <c r="D313" s="6" t="s">
        <v>2589</v>
      </c>
      <c r="E313" s="6" t="s">
        <v>2854</v>
      </c>
      <c r="F313" s="10" t="n">
        <v>12100</v>
      </c>
      <c r="G313" s="10" t="n">
        <v>1400000000</v>
      </c>
      <c r="H313" s="14" t="n">
        <v>0.02</v>
      </c>
      <c r="I313" s="9" t="s">
        <v>2751</v>
      </c>
      <c r="J313" s="6"/>
      <c r="K313" s="9" t="s">
        <v>2645</v>
      </c>
      <c r="L313" s="9" t="s">
        <v>2855</v>
      </c>
    </row>
    <row r="314" customFormat="false" ht="15" hidden="false" customHeight="false" outlineLevel="0" collapsed="false">
      <c r="A314" s="6" t="s">
        <v>338</v>
      </c>
      <c r="B314" s="9" t="s">
        <v>2857</v>
      </c>
      <c r="C314" s="6" t="s">
        <v>2604</v>
      </c>
      <c r="D314" s="6" t="s">
        <v>2858</v>
      </c>
      <c r="E314" s="6" t="s">
        <v>2665</v>
      </c>
      <c r="F314" s="10" t="n">
        <v>2650000</v>
      </c>
      <c r="G314" s="10" t="n">
        <v>32000000000</v>
      </c>
      <c r="H314" s="14" t="n">
        <v>4.99</v>
      </c>
      <c r="I314" s="9" t="s">
        <v>2859</v>
      </c>
      <c r="J314" s="6"/>
      <c r="K314" s="9" t="s">
        <v>2857</v>
      </c>
      <c r="L314" s="9" t="s">
        <v>1860</v>
      </c>
    </row>
    <row r="315" customFormat="false" ht="15" hidden="false" customHeight="false" outlineLevel="0" collapsed="false">
      <c r="A315" s="6" t="s">
        <v>338</v>
      </c>
      <c r="B315" s="9" t="s">
        <v>2857</v>
      </c>
      <c r="C315" s="6" t="s">
        <v>2604</v>
      </c>
      <c r="D315" s="6" t="s">
        <v>2858</v>
      </c>
      <c r="E315" s="6" t="s">
        <v>2777</v>
      </c>
      <c r="F315" s="10" t="n">
        <v>2585000</v>
      </c>
      <c r="G315" s="10" t="n">
        <v>55000000000</v>
      </c>
      <c r="H315" s="14" t="n">
        <v>4.87</v>
      </c>
      <c r="I315" s="9" t="s">
        <v>2860</v>
      </c>
      <c r="J315" s="6"/>
      <c r="K315" s="9" t="s">
        <v>2857</v>
      </c>
      <c r="L315" s="9" t="s">
        <v>1860</v>
      </c>
    </row>
    <row r="316" customFormat="false" ht="15" hidden="false" customHeight="false" outlineLevel="0" collapsed="false">
      <c r="A316" s="6" t="s">
        <v>338</v>
      </c>
      <c r="B316" s="9" t="s">
        <v>2857</v>
      </c>
      <c r="C316" s="6" t="s">
        <v>2604</v>
      </c>
      <c r="D316" s="6" t="s">
        <v>2858</v>
      </c>
      <c r="E316" s="6" t="s">
        <v>2665</v>
      </c>
      <c r="F316" s="10" t="n">
        <v>2500000</v>
      </c>
      <c r="G316" s="10" t="n">
        <v>50000000000</v>
      </c>
      <c r="H316" s="14" t="n">
        <v>4.71</v>
      </c>
      <c r="I316" s="9" t="s">
        <v>2861</v>
      </c>
      <c r="J316" s="6"/>
      <c r="K316" s="9" t="s">
        <v>2857</v>
      </c>
      <c r="L316" s="9" t="s">
        <v>1860</v>
      </c>
    </row>
    <row r="317" customFormat="false" ht="15" hidden="false" customHeight="false" outlineLevel="0" collapsed="false">
      <c r="A317" s="6" t="s">
        <v>338</v>
      </c>
      <c r="B317" s="9" t="s">
        <v>2857</v>
      </c>
      <c r="C317" s="6" t="s">
        <v>2604</v>
      </c>
      <c r="D317" s="6" t="s">
        <v>2858</v>
      </c>
      <c r="E317" s="6" t="s">
        <v>2665</v>
      </c>
      <c r="F317" s="10" t="n">
        <v>5122000</v>
      </c>
      <c r="G317" s="10" t="n">
        <v>50000000000</v>
      </c>
      <c r="H317" s="14" t="n">
        <v>9.65</v>
      </c>
      <c r="I317" s="9" t="s">
        <v>2393</v>
      </c>
      <c r="J317" s="6"/>
      <c r="K317" s="9" t="s">
        <v>2857</v>
      </c>
      <c r="L317" s="9" t="s">
        <v>1860</v>
      </c>
    </row>
    <row r="318" customFormat="false" ht="15" hidden="false" customHeight="false" outlineLevel="0" collapsed="false">
      <c r="A318" s="6" t="s">
        <v>338</v>
      </c>
      <c r="B318" s="9" t="s">
        <v>2857</v>
      </c>
      <c r="C318" s="6" t="s">
        <v>2604</v>
      </c>
      <c r="D318" s="6" t="s">
        <v>2858</v>
      </c>
      <c r="E318" s="6" t="s">
        <v>2777</v>
      </c>
      <c r="F318" s="10" t="n">
        <v>840000</v>
      </c>
      <c r="G318" s="10" t="n">
        <v>20000000000</v>
      </c>
      <c r="H318" s="14" t="n">
        <v>1.58</v>
      </c>
      <c r="I318" s="9" t="s">
        <v>2862</v>
      </c>
      <c r="J318" s="6"/>
      <c r="K318" s="9" t="s">
        <v>2857</v>
      </c>
      <c r="L318" s="9" t="s">
        <v>1860</v>
      </c>
    </row>
    <row r="319" customFormat="false" ht="15" hidden="false" customHeight="false" outlineLevel="0" collapsed="false">
      <c r="A319" s="6" t="s">
        <v>338</v>
      </c>
      <c r="B319" s="9" t="s">
        <v>2857</v>
      </c>
      <c r="C319" s="6" t="s">
        <v>2604</v>
      </c>
      <c r="D319" s="6" t="s">
        <v>2858</v>
      </c>
      <c r="E319" s="6" t="s">
        <v>2665</v>
      </c>
      <c r="F319" s="10" t="n">
        <v>150000</v>
      </c>
      <c r="G319" s="10" t="n">
        <v>7000000000</v>
      </c>
      <c r="H319" s="14" t="n">
        <v>0.28</v>
      </c>
      <c r="I319" s="9" t="s">
        <v>2163</v>
      </c>
      <c r="J319" s="6"/>
      <c r="K319" s="9" t="s">
        <v>2857</v>
      </c>
      <c r="L319" s="9" t="s">
        <v>1860</v>
      </c>
    </row>
    <row r="320" customFormat="false" ht="15" hidden="false" customHeight="false" outlineLevel="0" collapsed="false">
      <c r="A320" s="6" t="s">
        <v>338</v>
      </c>
      <c r="B320" s="9" t="s">
        <v>2857</v>
      </c>
      <c r="C320" s="6" t="s">
        <v>2604</v>
      </c>
      <c r="D320" s="6" t="s">
        <v>2858</v>
      </c>
      <c r="E320" s="6" t="s">
        <v>2777</v>
      </c>
      <c r="F320" s="10" t="n">
        <v>530000</v>
      </c>
      <c r="G320" s="10" t="n">
        <v>10000000000</v>
      </c>
      <c r="H320" s="14" t="n">
        <v>1</v>
      </c>
      <c r="I320" s="9" t="s">
        <v>2863</v>
      </c>
      <c r="J320" s="6"/>
      <c r="K320" s="9" t="s">
        <v>2857</v>
      </c>
      <c r="L320" s="9" t="s">
        <v>1860</v>
      </c>
    </row>
    <row r="321" customFormat="false" ht="15" hidden="false" customHeight="false" outlineLevel="0" collapsed="false">
      <c r="A321" s="6" t="s">
        <v>338</v>
      </c>
      <c r="B321" s="9" t="s">
        <v>2857</v>
      </c>
      <c r="C321" s="6" t="s">
        <v>2604</v>
      </c>
      <c r="D321" s="6" t="s">
        <v>2858</v>
      </c>
      <c r="E321" s="6" t="s">
        <v>2626</v>
      </c>
      <c r="F321" s="10" t="n">
        <v>2350000</v>
      </c>
      <c r="G321" s="10" t="n">
        <v>50000000000</v>
      </c>
      <c r="H321" s="14" t="n">
        <v>4.43</v>
      </c>
      <c r="I321" s="9" t="s">
        <v>2433</v>
      </c>
      <c r="J321" s="6"/>
      <c r="K321" s="9" t="s">
        <v>2857</v>
      </c>
      <c r="L321" s="9" t="s">
        <v>1860</v>
      </c>
    </row>
    <row r="322" customFormat="false" ht="15" hidden="false" customHeight="false" outlineLevel="0" collapsed="false">
      <c r="A322" s="6" t="s">
        <v>338</v>
      </c>
      <c r="B322" s="9" t="s">
        <v>2857</v>
      </c>
      <c r="C322" s="6" t="s">
        <v>2604</v>
      </c>
      <c r="D322" s="6" t="s">
        <v>2858</v>
      </c>
      <c r="E322" s="6" t="s">
        <v>2665</v>
      </c>
      <c r="F322" s="10" t="n">
        <v>2650000</v>
      </c>
      <c r="G322" s="10" t="n">
        <v>32000000000</v>
      </c>
      <c r="H322" s="14" t="n">
        <v>4.99</v>
      </c>
      <c r="I322" s="9" t="s">
        <v>2859</v>
      </c>
      <c r="J322" s="6"/>
      <c r="K322" s="9" t="s">
        <v>2857</v>
      </c>
      <c r="L322" s="9" t="s">
        <v>2864</v>
      </c>
    </row>
    <row r="323" customFormat="false" ht="15" hidden="false" customHeight="false" outlineLevel="0" collapsed="false">
      <c r="A323" s="6" t="s">
        <v>338</v>
      </c>
      <c r="B323" s="9" t="s">
        <v>2857</v>
      </c>
      <c r="C323" s="6" t="s">
        <v>2604</v>
      </c>
      <c r="D323" s="6" t="s">
        <v>2858</v>
      </c>
      <c r="E323" s="6" t="s">
        <v>2777</v>
      </c>
      <c r="F323" s="10" t="n">
        <v>2585000</v>
      </c>
      <c r="G323" s="10" t="n">
        <v>55000000000</v>
      </c>
      <c r="H323" s="14" t="n">
        <v>4.87</v>
      </c>
      <c r="I323" s="9" t="s">
        <v>2661</v>
      </c>
      <c r="J323" s="6"/>
      <c r="K323" s="9" t="s">
        <v>2857</v>
      </c>
      <c r="L323" s="9" t="s">
        <v>2864</v>
      </c>
    </row>
    <row r="324" customFormat="false" ht="15" hidden="false" customHeight="false" outlineLevel="0" collapsed="false">
      <c r="A324" s="6" t="s">
        <v>338</v>
      </c>
      <c r="B324" s="9" t="s">
        <v>2857</v>
      </c>
      <c r="C324" s="6" t="s">
        <v>2604</v>
      </c>
      <c r="D324" s="6" t="s">
        <v>2858</v>
      </c>
      <c r="E324" s="6" t="s">
        <v>2665</v>
      </c>
      <c r="F324" s="10" t="n">
        <v>2500000</v>
      </c>
      <c r="G324" s="10" t="n">
        <v>50000000000</v>
      </c>
      <c r="H324" s="14" t="n">
        <v>4.71</v>
      </c>
      <c r="I324" s="9" t="s">
        <v>2861</v>
      </c>
      <c r="J324" s="6"/>
      <c r="K324" s="9" t="s">
        <v>2857</v>
      </c>
      <c r="L324" s="9" t="s">
        <v>2864</v>
      </c>
    </row>
    <row r="325" customFormat="false" ht="15" hidden="false" customHeight="false" outlineLevel="0" collapsed="false">
      <c r="A325" s="6" t="s">
        <v>338</v>
      </c>
      <c r="B325" s="9" t="s">
        <v>2857</v>
      </c>
      <c r="C325" s="6" t="s">
        <v>2604</v>
      </c>
      <c r="D325" s="6" t="s">
        <v>2858</v>
      </c>
      <c r="E325" s="6" t="s">
        <v>2665</v>
      </c>
      <c r="F325" s="10" t="n">
        <v>5122000</v>
      </c>
      <c r="G325" s="10" t="n">
        <v>50000000000</v>
      </c>
      <c r="H325" s="14" t="n">
        <v>9.65</v>
      </c>
      <c r="I325" s="9" t="s">
        <v>2393</v>
      </c>
      <c r="J325" s="6"/>
      <c r="K325" s="9" t="s">
        <v>2857</v>
      </c>
      <c r="L325" s="9" t="s">
        <v>2864</v>
      </c>
    </row>
    <row r="326" customFormat="false" ht="15" hidden="false" customHeight="false" outlineLevel="0" collapsed="false">
      <c r="A326" s="6" t="s">
        <v>338</v>
      </c>
      <c r="B326" s="9" t="s">
        <v>2857</v>
      </c>
      <c r="C326" s="6" t="s">
        <v>2604</v>
      </c>
      <c r="D326" s="6" t="s">
        <v>2858</v>
      </c>
      <c r="E326" s="6" t="s">
        <v>2777</v>
      </c>
      <c r="F326" s="10" t="n">
        <v>840000</v>
      </c>
      <c r="G326" s="10" t="n">
        <v>20000000000</v>
      </c>
      <c r="H326" s="14" t="n">
        <v>1.58</v>
      </c>
      <c r="I326" s="9" t="s">
        <v>2862</v>
      </c>
      <c r="J326" s="6"/>
      <c r="K326" s="9" t="s">
        <v>2857</v>
      </c>
      <c r="L326" s="9" t="s">
        <v>2864</v>
      </c>
    </row>
    <row r="327" customFormat="false" ht="15" hidden="false" customHeight="false" outlineLevel="0" collapsed="false">
      <c r="A327" s="6" t="s">
        <v>338</v>
      </c>
      <c r="B327" s="9" t="s">
        <v>2857</v>
      </c>
      <c r="C327" s="6" t="s">
        <v>2604</v>
      </c>
      <c r="D327" s="6" t="s">
        <v>2858</v>
      </c>
      <c r="E327" s="6" t="s">
        <v>2665</v>
      </c>
      <c r="F327" s="10" t="n">
        <v>150000</v>
      </c>
      <c r="G327" s="10" t="n">
        <v>7000000000</v>
      </c>
      <c r="H327" s="14" t="n">
        <v>0.28</v>
      </c>
      <c r="I327" s="9" t="s">
        <v>2163</v>
      </c>
      <c r="J327" s="6"/>
      <c r="K327" s="9" t="s">
        <v>2857</v>
      </c>
      <c r="L327" s="9" t="s">
        <v>2864</v>
      </c>
    </row>
    <row r="328" customFormat="false" ht="15" hidden="false" customHeight="false" outlineLevel="0" collapsed="false">
      <c r="A328" s="6" t="s">
        <v>338</v>
      </c>
      <c r="B328" s="9" t="s">
        <v>2857</v>
      </c>
      <c r="C328" s="6" t="s">
        <v>2604</v>
      </c>
      <c r="D328" s="6" t="s">
        <v>2858</v>
      </c>
      <c r="E328" s="6" t="s">
        <v>2777</v>
      </c>
      <c r="F328" s="10" t="n">
        <v>530000</v>
      </c>
      <c r="G328" s="10" t="n">
        <v>10000000000</v>
      </c>
      <c r="H328" s="14" t="n">
        <v>1</v>
      </c>
      <c r="I328" s="9" t="s">
        <v>2863</v>
      </c>
      <c r="J328" s="6"/>
      <c r="K328" s="9" t="s">
        <v>2857</v>
      </c>
      <c r="L328" s="9" t="s">
        <v>2864</v>
      </c>
    </row>
    <row r="329" customFormat="false" ht="15" hidden="false" customHeight="false" outlineLevel="0" collapsed="false">
      <c r="A329" s="6" t="s">
        <v>338</v>
      </c>
      <c r="B329" s="9" t="s">
        <v>2857</v>
      </c>
      <c r="C329" s="6" t="s">
        <v>2604</v>
      </c>
      <c r="D329" s="6" t="s">
        <v>2858</v>
      </c>
      <c r="E329" s="6" t="s">
        <v>2626</v>
      </c>
      <c r="F329" s="10" t="n">
        <v>2350000</v>
      </c>
      <c r="G329" s="10" t="n">
        <v>50000000000</v>
      </c>
      <c r="H329" s="14" t="n">
        <v>4.43</v>
      </c>
      <c r="I329" s="9" t="s">
        <v>2433</v>
      </c>
      <c r="J329" s="6"/>
      <c r="K329" s="9" t="s">
        <v>2857</v>
      </c>
      <c r="L329" s="9" t="s">
        <v>2864</v>
      </c>
    </row>
    <row r="330" customFormat="false" ht="15" hidden="false" customHeight="false" outlineLevel="0" collapsed="false">
      <c r="A330" s="6" t="s">
        <v>67</v>
      </c>
      <c r="B330" s="6" t="s">
        <v>2865</v>
      </c>
      <c r="C330" s="6" t="s">
        <v>2604</v>
      </c>
      <c r="D330" s="6" t="s">
        <v>2704</v>
      </c>
      <c r="E330" s="6" t="s">
        <v>2594</v>
      </c>
      <c r="F330" s="10" t="n">
        <v>3484294</v>
      </c>
      <c r="G330" s="10"/>
      <c r="H330" s="14" t="n">
        <v>19.91</v>
      </c>
      <c r="I330" s="9" t="s">
        <v>2099</v>
      </c>
      <c r="J330" s="6"/>
      <c r="K330" s="6"/>
      <c r="L330" s="9" t="s">
        <v>1893</v>
      </c>
    </row>
    <row r="331" customFormat="false" ht="15" hidden="false" customHeight="false" outlineLevel="0" collapsed="false">
      <c r="A331" s="6" t="s">
        <v>67</v>
      </c>
      <c r="B331" s="6" t="s">
        <v>2865</v>
      </c>
      <c r="C331" s="6" t="s">
        <v>2604</v>
      </c>
      <c r="D331" s="6" t="s">
        <v>2704</v>
      </c>
      <c r="E331" s="6" t="s">
        <v>2594</v>
      </c>
      <c r="F331" s="10" t="n">
        <v>3484294</v>
      </c>
      <c r="G331" s="10"/>
      <c r="H331" s="14" t="n">
        <v>19.91</v>
      </c>
      <c r="I331" s="9" t="s">
        <v>2099</v>
      </c>
      <c r="J331" s="6"/>
      <c r="K331" s="6"/>
      <c r="L331" s="9" t="s">
        <v>2866</v>
      </c>
    </row>
    <row r="332" customFormat="false" ht="15" hidden="false" customHeight="false" outlineLevel="0" collapsed="false">
      <c r="A332" s="6" t="s">
        <v>420</v>
      </c>
      <c r="B332" s="6" t="s">
        <v>2867</v>
      </c>
      <c r="C332" s="6" t="s">
        <v>2604</v>
      </c>
      <c r="D332" s="6" t="s">
        <v>2589</v>
      </c>
      <c r="E332" s="6" t="s">
        <v>2868</v>
      </c>
      <c r="F332" s="10" t="n">
        <v>134049</v>
      </c>
      <c r="G332" s="10" t="n">
        <v>1000000000</v>
      </c>
      <c r="H332" s="14" t="n">
        <v>0.35</v>
      </c>
      <c r="I332" s="9" t="s">
        <v>2869</v>
      </c>
      <c r="J332" s="6"/>
      <c r="K332" s="6" t="s">
        <v>2867</v>
      </c>
      <c r="L332" s="9" t="s">
        <v>2050</v>
      </c>
    </row>
    <row r="333" customFormat="false" ht="15" hidden="false" customHeight="false" outlineLevel="0" collapsed="false">
      <c r="A333" s="6" t="s">
        <v>420</v>
      </c>
      <c r="B333" s="6" t="s">
        <v>2867</v>
      </c>
      <c r="C333" s="6" t="s">
        <v>2604</v>
      </c>
      <c r="D333" s="6" t="s">
        <v>2589</v>
      </c>
      <c r="E333" s="6" t="s">
        <v>2672</v>
      </c>
      <c r="F333" s="10" t="n">
        <v>159681</v>
      </c>
      <c r="G333" s="10" t="n">
        <v>800000000</v>
      </c>
      <c r="H333" s="14" t="n">
        <v>0.42</v>
      </c>
      <c r="I333" s="9" t="s">
        <v>2869</v>
      </c>
      <c r="J333" s="6"/>
      <c r="K333" s="6" t="s">
        <v>2867</v>
      </c>
      <c r="L333" s="9" t="s">
        <v>2050</v>
      </c>
    </row>
    <row r="334" customFormat="false" ht="15" hidden="false" customHeight="false" outlineLevel="0" collapsed="false">
      <c r="A334" s="6" t="s">
        <v>420</v>
      </c>
      <c r="B334" s="6" t="s">
        <v>2867</v>
      </c>
      <c r="C334" s="6" t="s">
        <v>2604</v>
      </c>
      <c r="D334" s="6" t="s">
        <v>2589</v>
      </c>
      <c r="E334" s="6" t="s">
        <v>2672</v>
      </c>
      <c r="F334" s="10" t="n">
        <v>99801</v>
      </c>
      <c r="G334" s="10" t="n">
        <v>500000000</v>
      </c>
      <c r="H334" s="14" t="n">
        <v>0.26</v>
      </c>
      <c r="I334" s="9" t="s">
        <v>2869</v>
      </c>
      <c r="J334" s="6"/>
      <c r="K334" s="6" t="s">
        <v>2867</v>
      </c>
      <c r="L334" s="9" t="s">
        <v>2050</v>
      </c>
    </row>
    <row r="335" customFormat="false" ht="15" hidden="false" customHeight="false" outlineLevel="0" collapsed="false">
      <c r="A335" s="6" t="s">
        <v>299</v>
      </c>
      <c r="B335" s="6" t="s">
        <v>2870</v>
      </c>
      <c r="C335" s="6" t="s">
        <v>2604</v>
      </c>
      <c r="D335" s="6" t="s">
        <v>2589</v>
      </c>
      <c r="E335" s="6" t="s">
        <v>2777</v>
      </c>
      <c r="F335" s="10" t="n">
        <v>325000</v>
      </c>
      <c r="G335" s="10" t="n">
        <v>4000000000</v>
      </c>
      <c r="H335" s="14" t="n">
        <v>0.81</v>
      </c>
      <c r="I335" s="9" t="s">
        <v>2871</v>
      </c>
      <c r="J335" s="9" t="s">
        <v>2872</v>
      </c>
      <c r="K335" s="9" t="s">
        <v>2645</v>
      </c>
      <c r="L335" s="9" t="s">
        <v>1906</v>
      </c>
    </row>
    <row r="336" customFormat="false" ht="15" hidden="false" customHeight="false" outlineLevel="0" collapsed="false">
      <c r="A336" s="6" t="s">
        <v>299</v>
      </c>
      <c r="B336" s="6" t="s">
        <v>2870</v>
      </c>
      <c r="C336" s="6" t="s">
        <v>2604</v>
      </c>
      <c r="D336" s="6" t="s">
        <v>2589</v>
      </c>
      <c r="E336" s="6" t="s">
        <v>2777</v>
      </c>
      <c r="F336" s="10" t="n">
        <v>195000</v>
      </c>
      <c r="G336" s="10" t="n">
        <v>2000000000</v>
      </c>
      <c r="H336" s="14" t="n">
        <v>0.48</v>
      </c>
      <c r="I336" s="9" t="s">
        <v>2871</v>
      </c>
      <c r="J336" s="9" t="s">
        <v>2873</v>
      </c>
      <c r="K336" s="9" t="s">
        <v>2645</v>
      </c>
      <c r="L336" s="9" t="s">
        <v>1906</v>
      </c>
    </row>
    <row r="337" customFormat="false" ht="15" hidden="false" customHeight="false" outlineLevel="0" collapsed="false">
      <c r="A337" s="6" t="s">
        <v>299</v>
      </c>
      <c r="B337" s="6" t="s">
        <v>2870</v>
      </c>
      <c r="C337" s="6" t="s">
        <v>2604</v>
      </c>
      <c r="D337" s="6" t="s">
        <v>2589</v>
      </c>
      <c r="E337" s="6" t="s">
        <v>2777</v>
      </c>
      <c r="F337" s="10" t="n">
        <v>130000</v>
      </c>
      <c r="G337" s="10" t="n">
        <v>1000000000</v>
      </c>
      <c r="H337" s="14" t="n">
        <v>0.32</v>
      </c>
      <c r="I337" s="9" t="s">
        <v>2871</v>
      </c>
      <c r="J337" s="9" t="s">
        <v>2873</v>
      </c>
      <c r="K337" s="9" t="s">
        <v>2645</v>
      </c>
      <c r="L337" s="9" t="s">
        <v>1906</v>
      </c>
    </row>
    <row r="338" customFormat="false" ht="15" hidden="false" customHeight="false" outlineLevel="0" collapsed="false">
      <c r="A338" s="6" t="s">
        <v>299</v>
      </c>
      <c r="B338" s="6" t="s">
        <v>2870</v>
      </c>
      <c r="C338" s="6" t="s">
        <v>2604</v>
      </c>
      <c r="D338" s="6" t="s">
        <v>2589</v>
      </c>
      <c r="E338" s="6" t="s">
        <v>2595</v>
      </c>
      <c r="F338" s="10" t="n">
        <v>700000</v>
      </c>
      <c r="G338" s="10" t="n">
        <v>28800000000</v>
      </c>
      <c r="H338" s="14" t="n">
        <v>1.72</v>
      </c>
      <c r="I338" s="9" t="s">
        <v>2874</v>
      </c>
      <c r="J338" s="9" t="s">
        <v>2875</v>
      </c>
      <c r="K338" s="9" t="s">
        <v>2645</v>
      </c>
      <c r="L338" s="9" t="s">
        <v>1906</v>
      </c>
    </row>
    <row r="339" customFormat="false" ht="15" hidden="false" customHeight="false" outlineLevel="0" collapsed="false">
      <c r="A339" s="6" t="s">
        <v>299</v>
      </c>
      <c r="B339" s="6" t="s">
        <v>2870</v>
      </c>
      <c r="C339" s="6" t="s">
        <v>2604</v>
      </c>
      <c r="D339" s="6" t="s">
        <v>2589</v>
      </c>
      <c r="E339" s="6" t="s">
        <v>2777</v>
      </c>
      <c r="F339" s="10" t="n">
        <v>530000</v>
      </c>
      <c r="G339" s="10" t="n">
        <v>10000000000</v>
      </c>
      <c r="H339" s="14" t="n">
        <v>1.3</v>
      </c>
      <c r="I339" s="9" t="s">
        <v>2311</v>
      </c>
      <c r="J339" s="9" t="s">
        <v>2875</v>
      </c>
      <c r="K339" s="9" t="s">
        <v>2645</v>
      </c>
      <c r="L339" s="9" t="s">
        <v>1906</v>
      </c>
    </row>
    <row r="340" customFormat="false" ht="15" hidden="false" customHeight="false" outlineLevel="0" collapsed="false">
      <c r="A340" s="6" t="s">
        <v>299</v>
      </c>
      <c r="B340" s="6" t="s">
        <v>2870</v>
      </c>
      <c r="C340" s="6" t="s">
        <v>2604</v>
      </c>
      <c r="D340" s="6" t="s">
        <v>2589</v>
      </c>
      <c r="E340" s="9" t="s">
        <v>2876</v>
      </c>
      <c r="F340" s="10" t="n">
        <v>500000</v>
      </c>
      <c r="G340" s="10" t="n">
        <v>5000000000</v>
      </c>
      <c r="H340" s="14" t="n">
        <v>1.23</v>
      </c>
      <c r="I340" s="9" t="s">
        <v>2109</v>
      </c>
      <c r="J340" s="9" t="s">
        <v>2877</v>
      </c>
      <c r="K340" s="9" t="s">
        <v>2645</v>
      </c>
      <c r="L340" s="9" t="s">
        <v>1906</v>
      </c>
    </row>
    <row r="341" customFormat="false" ht="15" hidden="false" customHeight="false" outlineLevel="0" collapsed="false">
      <c r="A341" s="6" t="s">
        <v>299</v>
      </c>
      <c r="B341" s="6" t="s">
        <v>2870</v>
      </c>
      <c r="C341" s="6" t="s">
        <v>2604</v>
      </c>
      <c r="D341" s="6" t="s">
        <v>2589</v>
      </c>
      <c r="E341" s="9" t="s">
        <v>2878</v>
      </c>
      <c r="F341" s="10" t="n">
        <v>160498</v>
      </c>
      <c r="G341" s="10" t="n">
        <v>5000000000</v>
      </c>
      <c r="H341" s="14" t="n">
        <v>0.39</v>
      </c>
      <c r="I341" s="9" t="s">
        <v>2347</v>
      </c>
      <c r="J341" s="9" t="s">
        <v>2879</v>
      </c>
      <c r="K341" s="9" t="s">
        <v>2645</v>
      </c>
      <c r="L341" s="9" t="s">
        <v>1906</v>
      </c>
    </row>
    <row r="342" customFormat="false" ht="15" hidden="false" customHeight="false" outlineLevel="0" collapsed="false">
      <c r="A342" s="6" t="s">
        <v>299</v>
      </c>
      <c r="B342" s="6" t="s">
        <v>2870</v>
      </c>
      <c r="C342" s="6" t="s">
        <v>2604</v>
      </c>
      <c r="D342" s="6" t="s">
        <v>2589</v>
      </c>
      <c r="E342" s="6" t="s">
        <v>2750</v>
      </c>
      <c r="F342" s="10" t="n">
        <v>231214</v>
      </c>
      <c r="G342" s="10" t="n">
        <v>10000000000</v>
      </c>
      <c r="H342" s="14" t="n">
        <v>0.57</v>
      </c>
      <c r="I342" s="9" t="s">
        <v>2767</v>
      </c>
      <c r="J342" s="9" t="s">
        <v>1904</v>
      </c>
      <c r="K342" s="9" t="s">
        <v>2645</v>
      </c>
      <c r="L342" s="9" t="s">
        <v>1906</v>
      </c>
    </row>
    <row r="343" customFormat="false" ht="15" hidden="false" customHeight="false" outlineLevel="0" collapsed="false">
      <c r="A343" s="6" t="s">
        <v>299</v>
      </c>
      <c r="B343" s="6" t="s">
        <v>2870</v>
      </c>
      <c r="C343" s="6" t="s">
        <v>2604</v>
      </c>
      <c r="D343" s="6" t="s">
        <v>2589</v>
      </c>
      <c r="E343" s="9" t="s">
        <v>2878</v>
      </c>
      <c r="F343" s="10" t="n">
        <v>180000</v>
      </c>
      <c r="G343" s="10" t="n">
        <v>10000000000</v>
      </c>
      <c r="H343" s="14" t="n">
        <v>0.44</v>
      </c>
      <c r="I343" s="9" t="s">
        <v>2535</v>
      </c>
      <c r="J343" s="9" t="s">
        <v>2880</v>
      </c>
      <c r="K343" s="9" t="s">
        <v>2645</v>
      </c>
      <c r="L343" s="9" t="s">
        <v>1906</v>
      </c>
    </row>
    <row r="344" customFormat="false" ht="15" hidden="false" customHeight="false" outlineLevel="0" collapsed="false">
      <c r="A344" s="6" t="s">
        <v>299</v>
      </c>
      <c r="B344" s="6" t="s">
        <v>2870</v>
      </c>
      <c r="C344" s="6" t="s">
        <v>2604</v>
      </c>
      <c r="D344" s="6" t="s">
        <v>2589</v>
      </c>
      <c r="E344" s="6" t="s">
        <v>2777</v>
      </c>
      <c r="F344" s="10" t="n">
        <v>325000</v>
      </c>
      <c r="G344" s="10" t="n">
        <v>4000000000</v>
      </c>
      <c r="H344" s="14" t="n">
        <v>0.8</v>
      </c>
      <c r="I344" s="9" t="s">
        <v>2871</v>
      </c>
      <c r="J344" s="9" t="s">
        <v>2872</v>
      </c>
      <c r="K344" s="9" t="s">
        <v>2645</v>
      </c>
      <c r="L344" s="9" t="s">
        <v>2881</v>
      </c>
    </row>
    <row r="345" customFormat="false" ht="15" hidden="false" customHeight="false" outlineLevel="0" collapsed="false">
      <c r="A345" s="6" t="s">
        <v>299</v>
      </c>
      <c r="B345" s="6" t="s">
        <v>2870</v>
      </c>
      <c r="C345" s="6" t="s">
        <v>2604</v>
      </c>
      <c r="D345" s="6" t="s">
        <v>2589</v>
      </c>
      <c r="E345" s="6" t="s">
        <v>2777</v>
      </c>
      <c r="F345" s="10" t="n">
        <v>195000</v>
      </c>
      <c r="G345" s="10" t="n">
        <v>2000000000</v>
      </c>
      <c r="H345" s="14" t="n">
        <v>0.48</v>
      </c>
      <c r="I345" s="9" t="s">
        <v>2871</v>
      </c>
      <c r="J345" s="9" t="s">
        <v>2873</v>
      </c>
      <c r="K345" s="9" t="s">
        <v>2645</v>
      </c>
      <c r="L345" s="9" t="s">
        <v>2881</v>
      </c>
    </row>
    <row r="346" customFormat="false" ht="15" hidden="false" customHeight="false" outlineLevel="0" collapsed="false">
      <c r="A346" s="6" t="s">
        <v>299</v>
      </c>
      <c r="B346" s="6" t="s">
        <v>2870</v>
      </c>
      <c r="C346" s="6" t="s">
        <v>2604</v>
      </c>
      <c r="D346" s="6" t="s">
        <v>2589</v>
      </c>
      <c r="E346" s="6" t="s">
        <v>2777</v>
      </c>
      <c r="F346" s="10" t="n">
        <v>130000</v>
      </c>
      <c r="G346" s="10" t="n">
        <v>1000000000</v>
      </c>
      <c r="H346" s="14" t="n">
        <v>0.32</v>
      </c>
      <c r="I346" s="9" t="s">
        <v>2871</v>
      </c>
      <c r="J346" s="9" t="s">
        <v>2873</v>
      </c>
      <c r="K346" s="9" t="s">
        <v>2645</v>
      </c>
      <c r="L346" s="9" t="s">
        <v>2881</v>
      </c>
    </row>
    <row r="347" customFormat="false" ht="15" hidden="false" customHeight="false" outlineLevel="0" collapsed="false">
      <c r="A347" s="6" t="s">
        <v>299</v>
      </c>
      <c r="B347" s="6" t="s">
        <v>2870</v>
      </c>
      <c r="C347" s="6" t="s">
        <v>2604</v>
      </c>
      <c r="D347" s="6" t="s">
        <v>2589</v>
      </c>
      <c r="E347" s="6" t="s">
        <v>2595</v>
      </c>
      <c r="F347" s="10" t="n">
        <v>700000</v>
      </c>
      <c r="G347" s="10" t="n">
        <v>28800000000</v>
      </c>
      <c r="H347" s="14" t="n">
        <v>1.72</v>
      </c>
      <c r="I347" s="9" t="s">
        <v>2874</v>
      </c>
      <c r="J347" s="9" t="s">
        <v>2875</v>
      </c>
      <c r="K347" s="9" t="s">
        <v>2645</v>
      </c>
      <c r="L347" s="9" t="s">
        <v>2881</v>
      </c>
    </row>
    <row r="348" customFormat="false" ht="15" hidden="false" customHeight="false" outlineLevel="0" collapsed="false">
      <c r="A348" s="6" t="s">
        <v>299</v>
      </c>
      <c r="B348" s="6" t="s">
        <v>2870</v>
      </c>
      <c r="C348" s="6" t="s">
        <v>2604</v>
      </c>
      <c r="D348" s="6" t="s">
        <v>2589</v>
      </c>
      <c r="E348" s="6" t="s">
        <v>2777</v>
      </c>
      <c r="F348" s="10" t="n">
        <v>530000</v>
      </c>
      <c r="G348" s="10" t="n">
        <v>10000000000</v>
      </c>
      <c r="H348" s="14" t="n">
        <v>1.3</v>
      </c>
      <c r="I348" s="9" t="s">
        <v>2311</v>
      </c>
      <c r="J348" s="9" t="s">
        <v>2875</v>
      </c>
      <c r="K348" s="9" t="s">
        <v>2645</v>
      </c>
      <c r="L348" s="9" t="s">
        <v>2881</v>
      </c>
    </row>
    <row r="349" customFormat="false" ht="15" hidden="false" customHeight="false" outlineLevel="0" collapsed="false">
      <c r="A349" s="6" t="s">
        <v>299</v>
      </c>
      <c r="B349" s="6" t="s">
        <v>2870</v>
      </c>
      <c r="C349" s="6" t="s">
        <v>2604</v>
      </c>
      <c r="D349" s="6" t="s">
        <v>2589</v>
      </c>
      <c r="E349" s="9" t="s">
        <v>2876</v>
      </c>
      <c r="F349" s="10" t="n">
        <v>500000</v>
      </c>
      <c r="G349" s="10" t="n">
        <v>5000000000</v>
      </c>
      <c r="H349" s="14" t="n">
        <v>1.23</v>
      </c>
      <c r="I349" s="9" t="s">
        <v>2109</v>
      </c>
      <c r="J349" s="9" t="s">
        <v>2877</v>
      </c>
      <c r="K349" s="9" t="s">
        <v>2645</v>
      </c>
      <c r="L349" s="9" t="s">
        <v>2881</v>
      </c>
    </row>
    <row r="350" customFormat="false" ht="15" hidden="false" customHeight="false" outlineLevel="0" collapsed="false">
      <c r="A350" s="6" t="s">
        <v>299</v>
      </c>
      <c r="B350" s="6" t="s">
        <v>2870</v>
      </c>
      <c r="C350" s="6" t="s">
        <v>2604</v>
      </c>
      <c r="D350" s="6" t="s">
        <v>2589</v>
      </c>
      <c r="E350" s="9" t="s">
        <v>2878</v>
      </c>
      <c r="F350" s="10" t="n">
        <v>160498</v>
      </c>
      <c r="G350" s="10" t="n">
        <v>5000000000</v>
      </c>
      <c r="H350" s="14" t="n">
        <v>0.39</v>
      </c>
      <c r="I350" s="9" t="s">
        <v>2347</v>
      </c>
      <c r="J350" s="9" t="s">
        <v>2879</v>
      </c>
      <c r="K350" s="9" t="s">
        <v>2645</v>
      </c>
      <c r="L350" s="9" t="s">
        <v>2881</v>
      </c>
    </row>
    <row r="351" customFormat="false" ht="15" hidden="false" customHeight="false" outlineLevel="0" collapsed="false">
      <c r="A351" s="6" t="s">
        <v>299</v>
      </c>
      <c r="B351" s="6" t="s">
        <v>2870</v>
      </c>
      <c r="C351" s="6" t="s">
        <v>2604</v>
      </c>
      <c r="D351" s="6" t="s">
        <v>2589</v>
      </c>
      <c r="E351" s="6" t="s">
        <v>2750</v>
      </c>
      <c r="F351" s="10" t="n">
        <v>231214</v>
      </c>
      <c r="G351" s="10" t="n">
        <v>10000000000</v>
      </c>
      <c r="H351" s="14" t="n">
        <v>0.57</v>
      </c>
      <c r="I351" s="9" t="s">
        <v>2767</v>
      </c>
      <c r="J351" s="9" t="s">
        <v>1904</v>
      </c>
      <c r="K351" s="9" t="s">
        <v>2645</v>
      </c>
      <c r="L351" s="9" t="s">
        <v>2881</v>
      </c>
    </row>
    <row r="352" customFormat="false" ht="15" hidden="false" customHeight="false" outlineLevel="0" collapsed="false">
      <c r="A352" s="6" t="s">
        <v>299</v>
      </c>
      <c r="B352" s="6" t="s">
        <v>2870</v>
      </c>
      <c r="C352" s="6" t="s">
        <v>2604</v>
      </c>
      <c r="D352" s="6" t="s">
        <v>2589</v>
      </c>
      <c r="E352" s="9" t="s">
        <v>2878</v>
      </c>
      <c r="F352" s="10" t="n">
        <v>280000</v>
      </c>
      <c r="G352" s="10" t="n">
        <v>10000000000</v>
      </c>
      <c r="H352" s="14" t="n">
        <v>0.69</v>
      </c>
      <c r="I352" s="9" t="s">
        <v>2535</v>
      </c>
      <c r="J352" s="9" t="s">
        <v>2880</v>
      </c>
      <c r="K352" s="9" t="s">
        <v>2645</v>
      </c>
      <c r="L352" s="9" t="s">
        <v>2881</v>
      </c>
    </row>
    <row r="353" customFormat="false" ht="15" hidden="false" customHeight="false" outlineLevel="0" collapsed="false">
      <c r="A353" s="6" t="s">
        <v>299</v>
      </c>
      <c r="B353" s="6" t="s">
        <v>2882</v>
      </c>
      <c r="C353" s="6" t="s">
        <v>2594</v>
      </c>
      <c r="D353" s="6" t="s">
        <v>2589</v>
      </c>
      <c r="E353" s="9" t="s">
        <v>2883</v>
      </c>
      <c r="F353" s="10" t="n">
        <v>29851</v>
      </c>
      <c r="G353" s="10" t="n">
        <v>1000000000</v>
      </c>
      <c r="H353" s="14" t="n">
        <v>0.07</v>
      </c>
      <c r="I353" s="9" t="s">
        <v>2148</v>
      </c>
      <c r="J353" s="9" t="s">
        <v>2884</v>
      </c>
      <c r="K353" s="9" t="s">
        <v>2645</v>
      </c>
      <c r="L353" s="9" t="s">
        <v>2881</v>
      </c>
    </row>
    <row r="354" customFormat="false" ht="15" hidden="false" customHeight="false" outlineLevel="0" collapsed="false">
      <c r="A354" s="9" t="s">
        <v>156</v>
      </c>
      <c r="B354" s="6" t="s">
        <v>2885</v>
      </c>
      <c r="C354" s="6" t="s">
        <v>2604</v>
      </c>
      <c r="D354" s="6" t="s">
        <v>2886</v>
      </c>
      <c r="E354" s="6" t="s">
        <v>2887</v>
      </c>
      <c r="F354" s="10" t="n">
        <v>9523810</v>
      </c>
      <c r="G354" s="10" t="n">
        <v>4800000000</v>
      </c>
      <c r="H354" s="14" t="n">
        <v>8.93</v>
      </c>
      <c r="I354" s="9" t="s">
        <v>2350</v>
      </c>
      <c r="J354" s="9" t="s">
        <v>2039</v>
      </c>
      <c r="K354" s="6" t="s">
        <v>2885</v>
      </c>
      <c r="L354" s="9" t="s">
        <v>2041</v>
      </c>
    </row>
    <row r="355" customFormat="false" ht="15" hidden="false" customHeight="false" outlineLevel="0" collapsed="false">
      <c r="A355" s="6" t="s">
        <v>193</v>
      </c>
      <c r="B355" s="9" t="s">
        <v>2888</v>
      </c>
      <c r="C355" s="6" t="s">
        <v>2604</v>
      </c>
      <c r="D355" s="6" t="s">
        <v>22</v>
      </c>
      <c r="E355" s="6" t="s">
        <v>2750</v>
      </c>
      <c r="F355" s="10" t="n">
        <v>117889</v>
      </c>
      <c r="G355" s="10" t="n">
        <v>7999937700</v>
      </c>
      <c r="H355" s="14" t="n">
        <v>0.05</v>
      </c>
      <c r="I355" s="9" t="s">
        <v>2492</v>
      </c>
      <c r="J355" s="9" t="s">
        <v>2606</v>
      </c>
      <c r="K355" s="6" t="s">
        <v>2889</v>
      </c>
      <c r="L355" s="9" t="s">
        <v>1814</v>
      </c>
    </row>
    <row r="356" customFormat="false" ht="15" hidden="false" customHeight="false" outlineLevel="0" collapsed="false">
      <c r="A356" s="6" t="s">
        <v>193</v>
      </c>
      <c r="B356" s="9" t="s">
        <v>2888</v>
      </c>
      <c r="C356" s="6" t="s">
        <v>2604</v>
      </c>
      <c r="D356" s="6" t="s">
        <v>22</v>
      </c>
      <c r="E356" s="6" t="s">
        <v>2750</v>
      </c>
      <c r="F356" s="10" t="n">
        <v>44668</v>
      </c>
      <c r="G356" s="10" t="n">
        <v>8000000000</v>
      </c>
      <c r="H356" s="14" t="n">
        <v>0.02</v>
      </c>
      <c r="I356" s="9" t="s">
        <v>2890</v>
      </c>
      <c r="J356" s="9" t="s">
        <v>1791</v>
      </c>
      <c r="K356" s="6" t="s">
        <v>2889</v>
      </c>
      <c r="L356" s="9" t="s">
        <v>1814</v>
      </c>
    </row>
    <row r="357" customFormat="false" ht="15" hidden="false" customHeight="false" outlineLevel="0" collapsed="false">
      <c r="A357" s="6" t="s">
        <v>193</v>
      </c>
      <c r="B357" s="9" t="s">
        <v>2888</v>
      </c>
      <c r="C357" s="6" t="s">
        <v>2604</v>
      </c>
      <c r="D357" s="6" t="s">
        <v>22</v>
      </c>
      <c r="E357" s="6" t="s">
        <v>2665</v>
      </c>
      <c r="F357" s="10" t="n">
        <v>1405083</v>
      </c>
      <c r="G357" s="10" t="n">
        <v>130000000000</v>
      </c>
      <c r="H357" s="14" t="n">
        <v>0.6</v>
      </c>
      <c r="I357" s="9" t="s">
        <v>2553</v>
      </c>
      <c r="J357" s="9" t="s">
        <v>2891</v>
      </c>
      <c r="K357" s="6" t="s">
        <v>2889</v>
      </c>
      <c r="L357" s="9" t="s">
        <v>1814</v>
      </c>
    </row>
    <row r="358" customFormat="false" ht="15" hidden="false" customHeight="false" outlineLevel="0" collapsed="false">
      <c r="A358" s="6" t="s">
        <v>193</v>
      </c>
      <c r="B358" s="9" t="s">
        <v>2888</v>
      </c>
      <c r="C358" s="6" t="s">
        <v>2604</v>
      </c>
      <c r="D358" s="6" t="s">
        <v>22</v>
      </c>
      <c r="E358" s="6" t="s">
        <v>2699</v>
      </c>
      <c r="F358" s="10" t="n">
        <v>100000</v>
      </c>
      <c r="G358" s="10" t="n">
        <v>5000000000</v>
      </c>
      <c r="H358" s="14" t="n">
        <v>0.04</v>
      </c>
      <c r="I358" s="9" t="s">
        <v>2313</v>
      </c>
      <c r="J358" s="9" t="s">
        <v>1812</v>
      </c>
      <c r="K358" s="6" t="s">
        <v>2889</v>
      </c>
      <c r="L358" s="9" t="s">
        <v>1814</v>
      </c>
    </row>
    <row r="359" customFormat="false" ht="15" hidden="false" customHeight="false" outlineLevel="0" collapsed="false">
      <c r="A359" s="6" t="s">
        <v>193</v>
      </c>
      <c r="B359" s="9" t="s">
        <v>2888</v>
      </c>
      <c r="C359" s="6" t="s">
        <v>2604</v>
      </c>
      <c r="D359" s="6" t="s">
        <v>22</v>
      </c>
      <c r="E359" s="6" t="s">
        <v>2699</v>
      </c>
      <c r="F359" s="10" t="n">
        <v>200000</v>
      </c>
      <c r="G359" s="10" t="n">
        <v>10000000000</v>
      </c>
      <c r="H359" s="14" t="n">
        <v>0.09</v>
      </c>
      <c r="I359" s="9" t="s">
        <v>2531</v>
      </c>
      <c r="J359" s="9" t="s">
        <v>2892</v>
      </c>
      <c r="K359" s="6" t="s">
        <v>2889</v>
      </c>
      <c r="L359" s="9" t="s">
        <v>1814</v>
      </c>
    </row>
    <row r="360" customFormat="false" ht="15" hidden="false" customHeight="false" outlineLevel="0" collapsed="false">
      <c r="A360" s="6" t="s">
        <v>193</v>
      </c>
      <c r="B360" s="9" t="s">
        <v>2888</v>
      </c>
      <c r="C360" s="6" t="s">
        <v>2604</v>
      </c>
      <c r="D360" s="6" t="s">
        <v>22</v>
      </c>
      <c r="E360" s="6" t="s">
        <v>2699</v>
      </c>
      <c r="F360" s="10" t="n">
        <v>100000</v>
      </c>
      <c r="G360" s="10" t="n">
        <v>5000000000</v>
      </c>
      <c r="H360" s="14" t="n">
        <v>0.04</v>
      </c>
      <c r="I360" s="9" t="s">
        <v>2313</v>
      </c>
      <c r="J360" s="9" t="s">
        <v>1683</v>
      </c>
      <c r="K360" s="6" t="s">
        <v>2889</v>
      </c>
      <c r="L360" s="9" t="s">
        <v>1814</v>
      </c>
    </row>
    <row r="361" customFormat="false" ht="15" hidden="false" customHeight="false" outlineLevel="0" collapsed="false">
      <c r="A361" s="6" t="s">
        <v>193</v>
      </c>
      <c r="B361" s="9" t="s">
        <v>2888</v>
      </c>
      <c r="C361" s="6" t="s">
        <v>2604</v>
      </c>
      <c r="D361" s="6" t="s">
        <v>22</v>
      </c>
      <c r="E361" s="6" t="s">
        <v>2699</v>
      </c>
      <c r="F361" s="10" t="n">
        <v>470000</v>
      </c>
      <c r="G361" s="10" t="n">
        <v>25000000000</v>
      </c>
      <c r="H361" s="14" t="n">
        <v>0.2</v>
      </c>
      <c r="I361" s="9" t="s">
        <v>2893</v>
      </c>
      <c r="J361" s="9" t="s">
        <v>2894</v>
      </c>
      <c r="K361" s="6" t="s">
        <v>2889</v>
      </c>
      <c r="L361" s="9" t="s">
        <v>1814</v>
      </c>
    </row>
    <row r="362" customFormat="false" ht="15" hidden="false" customHeight="false" outlineLevel="0" collapsed="false">
      <c r="A362" s="6" t="s">
        <v>193</v>
      </c>
      <c r="B362" s="9" t="s">
        <v>2888</v>
      </c>
      <c r="C362" s="6" t="s">
        <v>2604</v>
      </c>
      <c r="D362" s="6" t="s">
        <v>22</v>
      </c>
      <c r="E362" s="6" t="s">
        <v>2628</v>
      </c>
      <c r="F362" s="10" t="n">
        <v>3385200</v>
      </c>
      <c r="G362" s="10" t="n">
        <v>150000000000</v>
      </c>
      <c r="H362" s="14" t="n">
        <v>1.45</v>
      </c>
      <c r="I362" s="9" t="s">
        <v>2553</v>
      </c>
      <c r="J362" s="9" t="s">
        <v>2895</v>
      </c>
      <c r="K362" s="6" t="s">
        <v>2889</v>
      </c>
      <c r="L362" s="9" t="s">
        <v>1814</v>
      </c>
    </row>
    <row r="363" customFormat="false" ht="15" hidden="false" customHeight="false" outlineLevel="0" collapsed="false">
      <c r="A363" s="6" t="s">
        <v>193</v>
      </c>
      <c r="B363" s="9" t="s">
        <v>2888</v>
      </c>
      <c r="C363" s="6" t="s">
        <v>2604</v>
      </c>
      <c r="D363" s="6" t="s">
        <v>22</v>
      </c>
      <c r="E363" s="6" t="s">
        <v>2667</v>
      </c>
      <c r="F363" s="10" t="n">
        <v>919287</v>
      </c>
      <c r="G363" s="10" t="n">
        <v>100000000000</v>
      </c>
      <c r="H363" s="14" t="n">
        <v>0.39</v>
      </c>
      <c r="I363" s="9" t="s">
        <v>2553</v>
      </c>
      <c r="J363" s="9" t="s">
        <v>2896</v>
      </c>
      <c r="K363" s="6" t="s">
        <v>2889</v>
      </c>
      <c r="L363" s="9" t="s">
        <v>1814</v>
      </c>
    </row>
    <row r="364" customFormat="false" ht="15" hidden="false" customHeight="false" outlineLevel="0" collapsed="false">
      <c r="A364" s="6" t="s">
        <v>193</v>
      </c>
      <c r="B364" s="9" t="s">
        <v>2888</v>
      </c>
      <c r="C364" s="6" t="s">
        <v>2604</v>
      </c>
      <c r="D364" s="6" t="s">
        <v>22</v>
      </c>
      <c r="E364" s="6" t="s">
        <v>2750</v>
      </c>
      <c r="F364" s="10" t="n">
        <v>444741</v>
      </c>
      <c r="G364" s="10" t="n">
        <v>39999946100</v>
      </c>
      <c r="H364" s="14" t="n">
        <v>0.19</v>
      </c>
      <c r="I364" s="9" t="s">
        <v>2655</v>
      </c>
      <c r="J364" s="9" t="s">
        <v>2403</v>
      </c>
      <c r="K364" s="6" t="s">
        <v>2889</v>
      </c>
      <c r="L364" s="9" t="s">
        <v>1814</v>
      </c>
    </row>
    <row r="365" customFormat="false" ht="15" hidden="false" customHeight="false" outlineLevel="0" collapsed="false">
      <c r="A365" s="6" t="s">
        <v>193</v>
      </c>
      <c r="B365" s="9" t="s">
        <v>2888</v>
      </c>
      <c r="C365" s="6" t="s">
        <v>2604</v>
      </c>
      <c r="D365" s="6" t="s">
        <v>22</v>
      </c>
      <c r="E365" s="6" t="s">
        <v>2777</v>
      </c>
      <c r="F365" s="10" t="n">
        <v>3850000</v>
      </c>
      <c r="G365" s="10" t="n">
        <v>149500000000</v>
      </c>
      <c r="H365" s="14" t="n">
        <v>1.65</v>
      </c>
      <c r="I365" s="9" t="s">
        <v>2138</v>
      </c>
      <c r="J365" s="9" t="s">
        <v>2897</v>
      </c>
      <c r="K365" s="6" t="s">
        <v>2889</v>
      </c>
      <c r="L365" s="9" t="s">
        <v>1814</v>
      </c>
    </row>
    <row r="366" customFormat="false" ht="15" hidden="false" customHeight="false" outlineLevel="0" collapsed="false">
      <c r="A366" s="6" t="s">
        <v>193</v>
      </c>
      <c r="B366" s="9" t="s">
        <v>2888</v>
      </c>
      <c r="C366" s="6" t="s">
        <v>2604</v>
      </c>
      <c r="D366" s="6" t="s">
        <v>22</v>
      </c>
      <c r="E366" s="6" t="s">
        <v>2663</v>
      </c>
      <c r="F366" s="10" t="n">
        <v>1000000</v>
      </c>
      <c r="G366" s="10" t="n">
        <v>100000000000</v>
      </c>
      <c r="H366" s="14" t="n">
        <v>0.43</v>
      </c>
      <c r="I366" s="9" t="s">
        <v>2783</v>
      </c>
      <c r="J366" s="9" t="s">
        <v>2148</v>
      </c>
      <c r="K366" s="6" t="s">
        <v>2889</v>
      </c>
      <c r="L366" s="9" t="s">
        <v>1814</v>
      </c>
    </row>
    <row r="367" customFormat="false" ht="15" hidden="false" customHeight="false" outlineLevel="0" collapsed="false">
      <c r="A367" s="6" t="s">
        <v>193</v>
      </c>
      <c r="B367" s="9" t="s">
        <v>2888</v>
      </c>
      <c r="C367" s="6" t="s">
        <v>2604</v>
      </c>
      <c r="D367" s="6" t="s">
        <v>22</v>
      </c>
      <c r="E367" s="6" t="s">
        <v>2750</v>
      </c>
      <c r="F367" s="10" t="n">
        <v>88795</v>
      </c>
      <c r="G367" s="10" t="n">
        <v>10000000000</v>
      </c>
      <c r="H367" s="14" t="n">
        <v>0.04</v>
      </c>
      <c r="I367" s="9" t="s">
        <v>2859</v>
      </c>
      <c r="J367" s="9" t="s">
        <v>2673</v>
      </c>
      <c r="K367" s="6" t="s">
        <v>2889</v>
      </c>
      <c r="L367" s="9" t="s">
        <v>1814</v>
      </c>
    </row>
    <row r="368" customFormat="false" ht="15" hidden="false" customHeight="false" outlineLevel="0" collapsed="false">
      <c r="A368" s="6" t="s">
        <v>193</v>
      </c>
      <c r="B368" s="9" t="s">
        <v>2888</v>
      </c>
      <c r="C368" s="6" t="s">
        <v>2604</v>
      </c>
      <c r="D368" s="6" t="s">
        <v>22</v>
      </c>
      <c r="E368" s="6" t="s">
        <v>2750</v>
      </c>
      <c r="F368" s="10" t="n">
        <v>36115</v>
      </c>
      <c r="G368" s="10" t="n">
        <v>4000000000</v>
      </c>
      <c r="H368" s="14" t="n">
        <v>0.02</v>
      </c>
      <c r="I368" s="9" t="s">
        <v>2492</v>
      </c>
      <c r="J368" s="9" t="s">
        <v>2898</v>
      </c>
      <c r="K368" s="6" t="s">
        <v>2889</v>
      </c>
      <c r="L368" s="9" t="s">
        <v>1814</v>
      </c>
    </row>
    <row r="369" customFormat="false" ht="15" hidden="false" customHeight="false" outlineLevel="0" collapsed="false">
      <c r="A369" s="6" t="s">
        <v>193</v>
      </c>
      <c r="B369" s="9" t="s">
        <v>2888</v>
      </c>
      <c r="C369" s="6" t="s">
        <v>2604</v>
      </c>
      <c r="D369" s="6" t="s">
        <v>22</v>
      </c>
      <c r="E369" s="6" t="s">
        <v>2626</v>
      </c>
      <c r="F369" s="10" t="n">
        <v>1500000</v>
      </c>
      <c r="G369" s="10" t="n">
        <v>100000000000</v>
      </c>
      <c r="H369" s="14" t="n">
        <v>0.64</v>
      </c>
      <c r="I369" s="9" t="s">
        <v>2138</v>
      </c>
      <c r="J369" s="9" t="s">
        <v>2899</v>
      </c>
      <c r="K369" s="6" t="s">
        <v>2889</v>
      </c>
      <c r="L369" s="9" t="s">
        <v>1814</v>
      </c>
    </row>
    <row r="370" customFormat="false" ht="15" hidden="false" customHeight="false" outlineLevel="0" collapsed="false">
      <c r="A370" s="6" t="s">
        <v>193</v>
      </c>
      <c r="B370" s="9" t="s">
        <v>2888</v>
      </c>
      <c r="C370" s="6" t="s">
        <v>2604</v>
      </c>
      <c r="D370" s="6" t="s">
        <v>22</v>
      </c>
      <c r="E370" s="6" t="s">
        <v>2900</v>
      </c>
      <c r="F370" s="10" t="n">
        <v>98766</v>
      </c>
      <c r="G370" s="10" t="n">
        <v>10000000000</v>
      </c>
      <c r="H370" s="14" t="n">
        <v>0.04</v>
      </c>
      <c r="I370" s="9" t="s">
        <v>2901</v>
      </c>
      <c r="J370" s="9" t="s">
        <v>2896</v>
      </c>
      <c r="K370" s="6" t="s">
        <v>2889</v>
      </c>
      <c r="L370" s="9" t="s">
        <v>1814</v>
      </c>
    </row>
    <row r="371" customFormat="false" ht="15" hidden="false" customHeight="false" outlineLevel="0" collapsed="false">
      <c r="A371" s="6" t="s">
        <v>193</v>
      </c>
      <c r="B371" s="9" t="s">
        <v>2888</v>
      </c>
      <c r="C371" s="6" t="s">
        <v>2604</v>
      </c>
      <c r="D371" s="6" t="s">
        <v>22</v>
      </c>
      <c r="E371" s="9" t="s">
        <v>2883</v>
      </c>
      <c r="F371" s="10" t="n">
        <v>114559</v>
      </c>
      <c r="G371" s="10" t="n">
        <v>12000000000</v>
      </c>
      <c r="H371" s="14" t="n">
        <v>0.05</v>
      </c>
      <c r="I371" s="9" t="s">
        <v>2902</v>
      </c>
      <c r="J371" s="9" t="s">
        <v>2687</v>
      </c>
      <c r="K371" s="6" t="s">
        <v>2889</v>
      </c>
      <c r="L371" s="9" t="s">
        <v>1814</v>
      </c>
    </row>
    <row r="372" customFormat="false" ht="15" hidden="false" customHeight="false" outlineLevel="0" collapsed="false">
      <c r="A372" s="6" t="s">
        <v>193</v>
      </c>
      <c r="B372" s="9" t="s">
        <v>2888</v>
      </c>
      <c r="C372" s="6" t="s">
        <v>2604</v>
      </c>
      <c r="D372" s="6" t="s">
        <v>22</v>
      </c>
      <c r="E372" s="6" t="s">
        <v>2699</v>
      </c>
      <c r="F372" s="10" t="n">
        <v>593668</v>
      </c>
      <c r="G372" s="10" t="n">
        <v>50000000000</v>
      </c>
      <c r="H372" s="14" t="n">
        <v>0.25</v>
      </c>
      <c r="I372" s="9" t="s">
        <v>2851</v>
      </c>
      <c r="J372" s="9" t="s">
        <v>2903</v>
      </c>
      <c r="K372" s="6" t="s">
        <v>2889</v>
      </c>
      <c r="L372" s="9" t="s">
        <v>1814</v>
      </c>
    </row>
    <row r="373" customFormat="false" ht="15" hidden="false" customHeight="false" outlineLevel="0" collapsed="false">
      <c r="A373" s="6" t="s">
        <v>193</v>
      </c>
      <c r="B373" s="9" t="s">
        <v>2904</v>
      </c>
      <c r="C373" s="6" t="s">
        <v>2594</v>
      </c>
      <c r="D373" s="6" t="s">
        <v>22</v>
      </c>
      <c r="E373" s="6" t="s">
        <v>2665</v>
      </c>
      <c r="F373" s="10" t="n">
        <v>453135</v>
      </c>
      <c r="G373" s="10" t="n">
        <v>43000000000</v>
      </c>
      <c r="H373" s="14" t="n">
        <v>0.19</v>
      </c>
      <c r="I373" s="9" t="s">
        <v>2553</v>
      </c>
      <c r="J373" s="9" t="s">
        <v>2905</v>
      </c>
      <c r="K373" s="6" t="s">
        <v>2906</v>
      </c>
      <c r="L373" s="9" t="s">
        <v>1814</v>
      </c>
    </row>
    <row r="374" customFormat="false" ht="15" hidden="false" customHeight="false" outlineLevel="0" collapsed="false">
      <c r="A374" s="6" t="s">
        <v>193</v>
      </c>
      <c r="B374" s="9" t="s">
        <v>2904</v>
      </c>
      <c r="C374" s="6" t="s">
        <v>2594</v>
      </c>
      <c r="D374" s="6" t="s">
        <v>22</v>
      </c>
      <c r="E374" s="6" t="s">
        <v>2738</v>
      </c>
      <c r="F374" s="10" t="n">
        <v>118500</v>
      </c>
      <c r="G374" s="10" t="n">
        <v>5000000000</v>
      </c>
      <c r="H374" s="14" t="n">
        <v>0.05</v>
      </c>
      <c r="I374" s="9" t="s">
        <v>2907</v>
      </c>
      <c r="J374" s="9" t="s">
        <v>2908</v>
      </c>
      <c r="K374" s="6" t="s">
        <v>2906</v>
      </c>
      <c r="L374" s="9" t="s">
        <v>1814</v>
      </c>
    </row>
    <row r="375" customFormat="false" ht="15" hidden="false" customHeight="false" outlineLevel="0" collapsed="false">
      <c r="A375" s="6" t="s">
        <v>193</v>
      </c>
      <c r="B375" s="9" t="s">
        <v>2904</v>
      </c>
      <c r="C375" s="6" t="s">
        <v>2594</v>
      </c>
      <c r="D375" s="6" t="s">
        <v>22</v>
      </c>
      <c r="E375" s="6" t="s">
        <v>2738</v>
      </c>
      <c r="F375" s="10" t="n">
        <v>705000</v>
      </c>
      <c r="G375" s="10" t="n">
        <v>25000000000</v>
      </c>
      <c r="H375" s="14" t="n">
        <v>0.3</v>
      </c>
      <c r="I375" s="9" t="s">
        <v>2143</v>
      </c>
      <c r="J375" s="9" t="s">
        <v>2909</v>
      </c>
      <c r="K375" s="6" t="s">
        <v>2906</v>
      </c>
      <c r="L375" s="9" t="s">
        <v>1814</v>
      </c>
    </row>
    <row r="376" customFormat="false" ht="15" hidden="false" customHeight="false" outlineLevel="0" collapsed="false">
      <c r="A376" s="6" t="s">
        <v>193</v>
      </c>
      <c r="B376" s="9" t="s">
        <v>2904</v>
      </c>
      <c r="C376" s="6" t="s">
        <v>2594</v>
      </c>
      <c r="D376" s="6" t="s">
        <v>22</v>
      </c>
      <c r="E376" s="9" t="s">
        <v>2910</v>
      </c>
      <c r="F376" s="10" t="n">
        <v>40000</v>
      </c>
      <c r="G376" s="10" t="n">
        <v>2500000000</v>
      </c>
      <c r="H376" s="14" t="n">
        <v>0.02</v>
      </c>
      <c r="I376" s="9" t="s">
        <v>2907</v>
      </c>
      <c r="J376" s="9" t="s">
        <v>2911</v>
      </c>
      <c r="K376" s="6" t="s">
        <v>2906</v>
      </c>
      <c r="L376" s="9" t="s">
        <v>1814</v>
      </c>
    </row>
    <row r="377" customFormat="false" ht="15" hidden="false" customHeight="false" outlineLevel="0" collapsed="false">
      <c r="A377" s="6" t="s">
        <v>193</v>
      </c>
      <c r="B377" s="9" t="s">
        <v>2904</v>
      </c>
      <c r="C377" s="6" t="s">
        <v>2594</v>
      </c>
      <c r="D377" s="6" t="s">
        <v>22</v>
      </c>
      <c r="E377" s="6" t="s">
        <v>2667</v>
      </c>
      <c r="F377" s="10" t="n">
        <v>78927</v>
      </c>
      <c r="G377" s="10" t="n">
        <v>10000000000</v>
      </c>
      <c r="H377" s="14" t="n">
        <v>0.03</v>
      </c>
      <c r="I377" s="9" t="s">
        <v>2553</v>
      </c>
      <c r="J377" s="9" t="s">
        <v>2896</v>
      </c>
      <c r="K377" s="6" t="s">
        <v>2906</v>
      </c>
      <c r="L377" s="9" t="s">
        <v>1814</v>
      </c>
    </row>
    <row r="378" customFormat="false" ht="15" hidden="false" customHeight="false" outlineLevel="0" collapsed="false">
      <c r="A378" s="6" t="s">
        <v>193</v>
      </c>
      <c r="B378" s="9" t="s">
        <v>2904</v>
      </c>
      <c r="C378" s="6" t="s">
        <v>2594</v>
      </c>
      <c r="D378" s="6" t="s">
        <v>22</v>
      </c>
      <c r="E378" s="6" t="s">
        <v>2628</v>
      </c>
      <c r="F378" s="10" t="n">
        <v>333060</v>
      </c>
      <c r="G378" s="10" t="n">
        <v>10000000000</v>
      </c>
      <c r="H378" s="14" t="n">
        <v>0.14</v>
      </c>
      <c r="I378" s="9" t="s">
        <v>2553</v>
      </c>
      <c r="J378" s="9" t="s">
        <v>1683</v>
      </c>
      <c r="K378" s="6" t="s">
        <v>2906</v>
      </c>
      <c r="L378" s="9" t="s">
        <v>1814</v>
      </c>
    </row>
    <row r="379" customFormat="false" ht="15" hidden="false" customHeight="false" outlineLevel="0" collapsed="false">
      <c r="A379" s="6" t="s">
        <v>193</v>
      </c>
      <c r="B379" s="9" t="s">
        <v>2904</v>
      </c>
      <c r="C379" s="6" t="s">
        <v>2594</v>
      </c>
      <c r="D379" s="6" t="s">
        <v>22</v>
      </c>
      <c r="E379" s="6" t="s">
        <v>2626</v>
      </c>
      <c r="F379" s="10" t="n">
        <v>750000</v>
      </c>
      <c r="G379" s="10" t="n">
        <v>45000000000</v>
      </c>
      <c r="H379" s="14" t="n">
        <v>0.32</v>
      </c>
      <c r="I379" s="9" t="s">
        <v>2912</v>
      </c>
      <c r="J379" s="9" t="s">
        <v>2905</v>
      </c>
      <c r="K379" s="6" t="s">
        <v>2906</v>
      </c>
      <c r="L379" s="9" t="s">
        <v>1814</v>
      </c>
    </row>
    <row r="380" customFormat="false" ht="15" hidden="false" customHeight="false" outlineLevel="0" collapsed="false">
      <c r="A380" s="6" t="s">
        <v>193</v>
      </c>
      <c r="B380" s="9" t="s">
        <v>2904</v>
      </c>
      <c r="C380" s="6" t="s">
        <v>2594</v>
      </c>
      <c r="D380" s="6" t="s">
        <v>22</v>
      </c>
      <c r="E380" s="6" t="s">
        <v>2667</v>
      </c>
      <c r="F380" s="10" t="n">
        <v>76929</v>
      </c>
      <c r="G380" s="10" t="n">
        <v>10000000000</v>
      </c>
      <c r="H380" s="14" t="n">
        <v>0.03</v>
      </c>
      <c r="I380" s="9" t="s">
        <v>2553</v>
      </c>
      <c r="J380" s="9" t="s">
        <v>2896</v>
      </c>
      <c r="K380" s="6" t="s">
        <v>2906</v>
      </c>
      <c r="L380" s="9" t="s">
        <v>1814</v>
      </c>
    </row>
    <row r="381" customFormat="false" ht="15" hidden="false" customHeight="false" outlineLevel="0" collapsed="false">
      <c r="A381" s="6" t="s">
        <v>193</v>
      </c>
      <c r="B381" s="9" t="s">
        <v>2904</v>
      </c>
      <c r="C381" s="6" t="s">
        <v>2594</v>
      </c>
      <c r="D381" s="6" t="s">
        <v>22</v>
      </c>
      <c r="E381" s="9" t="s">
        <v>2878</v>
      </c>
      <c r="F381" s="10" t="n">
        <v>108696</v>
      </c>
      <c r="G381" s="10" t="n">
        <v>10000000000</v>
      </c>
      <c r="H381" s="14" t="n">
        <v>0.05</v>
      </c>
      <c r="I381" s="9" t="s">
        <v>2375</v>
      </c>
      <c r="J381" s="9" t="s">
        <v>1880</v>
      </c>
      <c r="K381" s="6" t="s">
        <v>2906</v>
      </c>
      <c r="L381" s="9" t="s">
        <v>1814</v>
      </c>
    </row>
    <row r="382" customFormat="false" ht="15" hidden="false" customHeight="false" outlineLevel="0" collapsed="false">
      <c r="A382" s="6" t="s">
        <v>193</v>
      </c>
      <c r="B382" s="6" t="s">
        <v>2913</v>
      </c>
      <c r="C382" s="6" t="s">
        <v>2594</v>
      </c>
      <c r="D382" s="6" t="s">
        <v>22</v>
      </c>
      <c r="E382" s="6" t="s">
        <v>2699</v>
      </c>
      <c r="F382" s="10" t="n">
        <v>269557</v>
      </c>
      <c r="G382" s="10" t="n">
        <v>10000000000</v>
      </c>
      <c r="H382" s="14" t="n">
        <v>0.12</v>
      </c>
      <c r="I382" s="9" t="s">
        <v>2914</v>
      </c>
      <c r="J382" s="9" t="s">
        <v>2915</v>
      </c>
      <c r="K382" s="6" t="s">
        <v>2913</v>
      </c>
      <c r="L382" s="9" t="s">
        <v>1814</v>
      </c>
    </row>
    <row r="383" customFormat="false" ht="15" hidden="false" customHeight="false" outlineLevel="0" collapsed="false">
      <c r="A383" s="6" t="s">
        <v>193</v>
      </c>
      <c r="B383" s="6" t="s">
        <v>2913</v>
      </c>
      <c r="C383" s="6" t="s">
        <v>2594</v>
      </c>
      <c r="D383" s="6" t="s">
        <v>22</v>
      </c>
      <c r="E383" s="6" t="s">
        <v>2665</v>
      </c>
      <c r="F383" s="10" t="n">
        <v>1613000</v>
      </c>
      <c r="G383" s="10" t="n">
        <v>165000000000</v>
      </c>
      <c r="H383" s="14" t="n">
        <v>0.69</v>
      </c>
      <c r="I383" s="9" t="s">
        <v>2553</v>
      </c>
      <c r="J383" s="9" t="s">
        <v>2916</v>
      </c>
      <c r="K383" s="6" t="s">
        <v>2913</v>
      </c>
      <c r="L383" s="9" t="s">
        <v>1814</v>
      </c>
    </row>
    <row r="384" customFormat="false" ht="15" hidden="false" customHeight="false" outlineLevel="0" collapsed="false">
      <c r="A384" s="6" t="s">
        <v>193</v>
      </c>
      <c r="B384" s="6" t="s">
        <v>2913</v>
      </c>
      <c r="C384" s="6" t="s">
        <v>2594</v>
      </c>
      <c r="D384" s="6" t="s">
        <v>22</v>
      </c>
      <c r="E384" s="6" t="s">
        <v>2628</v>
      </c>
      <c r="F384" s="10" t="n">
        <v>35940</v>
      </c>
      <c r="G384" s="10" t="n">
        <v>3000000000</v>
      </c>
      <c r="H384" s="14" t="n">
        <v>0.02</v>
      </c>
      <c r="I384" s="9" t="s">
        <v>2454</v>
      </c>
      <c r="J384" s="9" t="s">
        <v>2917</v>
      </c>
      <c r="K384" s="6" t="s">
        <v>2913</v>
      </c>
      <c r="L384" s="9" t="s">
        <v>1814</v>
      </c>
    </row>
    <row r="385" customFormat="false" ht="15" hidden="false" customHeight="false" outlineLevel="0" collapsed="false">
      <c r="A385" s="6" t="s">
        <v>193</v>
      </c>
      <c r="B385" s="6" t="s">
        <v>2913</v>
      </c>
      <c r="C385" s="6" t="s">
        <v>2594</v>
      </c>
      <c r="D385" s="6" t="s">
        <v>22</v>
      </c>
      <c r="E385" s="6" t="s">
        <v>2667</v>
      </c>
      <c r="F385" s="10" t="n">
        <v>223158</v>
      </c>
      <c r="G385" s="10" t="n">
        <v>25000000000</v>
      </c>
      <c r="H385" s="14" t="n">
        <v>0.1</v>
      </c>
      <c r="I385" s="9" t="s">
        <v>2553</v>
      </c>
      <c r="J385" s="9" t="s">
        <v>2896</v>
      </c>
      <c r="K385" s="6" t="s">
        <v>2913</v>
      </c>
      <c r="L385" s="9" t="s">
        <v>1814</v>
      </c>
    </row>
    <row r="386" customFormat="false" ht="15" hidden="false" customHeight="false" outlineLevel="0" collapsed="false">
      <c r="A386" s="6" t="s">
        <v>193</v>
      </c>
      <c r="B386" s="6" t="s">
        <v>2913</v>
      </c>
      <c r="C386" s="6" t="s">
        <v>2594</v>
      </c>
      <c r="D386" s="6" t="s">
        <v>22</v>
      </c>
      <c r="E386" s="6" t="s">
        <v>2667</v>
      </c>
      <c r="F386" s="10" t="n">
        <v>181300</v>
      </c>
      <c r="G386" s="10" t="n">
        <v>20000000000</v>
      </c>
      <c r="H386" s="14" t="n">
        <v>0.08</v>
      </c>
      <c r="I386" s="9" t="s">
        <v>2553</v>
      </c>
      <c r="J386" s="9" t="s">
        <v>2896</v>
      </c>
      <c r="K386" s="6" t="s">
        <v>2913</v>
      </c>
      <c r="L386" s="9" t="s">
        <v>1814</v>
      </c>
    </row>
    <row r="387" customFormat="false" ht="15" hidden="false" customHeight="false" outlineLevel="0" collapsed="false">
      <c r="A387" s="6" t="s">
        <v>193</v>
      </c>
      <c r="B387" s="6" t="s">
        <v>2913</v>
      </c>
      <c r="C387" s="6" t="s">
        <v>2594</v>
      </c>
      <c r="D387" s="6" t="s">
        <v>22</v>
      </c>
      <c r="E387" s="6" t="s">
        <v>2900</v>
      </c>
      <c r="F387" s="10" t="n">
        <v>338154</v>
      </c>
      <c r="G387" s="10" t="n">
        <v>24500000000</v>
      </c>
      <c r="H387" s="14" t="n">
        <v>0.14</v>
      </c>
      <c r="I387" s="9" t="s">
        <v>2492</v>
      </c>
      <c r="J387" s="9" t="s">
        <v>1783</v>
      </c>
      <c r="K387" s="6" t="s">
        <v>2913</v>
      </c>
      <c r="L387" s="9" t="s">
        <v>1814</v>
      </c>
    </row>
    <row r="388" customFormat="false" ht="15" hidden="false" customHeight="false" outlineLevel="0" collapsed="false">
      <c r="A388" s="6" t="s">
        <v>193</v>
      </c>
      <c r="B388" s="6" t="s">
        <v>2913</v>
      </c>
      <c r="C388" s="6" t="s">
        <v>2594</v>
      </c>
      <c r="D388" s="6" t="s">
        <v>22</v>
      </c>
      <c r="E388" s="6" t="s">
        <v>2699</v>
      </c>
      <c r="F388" s="10" t="n">
        <v>247094</v>
      </c>
      <c r="G388" s="10" t="n">
        <v>9790000000</v>
      </c>
      <c r="H388" s="14" t="n">
        <v>0.11</v>
      </c>
      <c r="I388" s="9" t="s">
        <v>2713</v>
      </c>
      <c r="J388" s="9" t="s">
        <v>2917</v>
      </c>
      <c r="K388" s="6" t="s">
        <v>2913</v>
      </c>
      <c r="L388" s="9" t="s">
        <v>1814</v>
      </c>
    </row>
    <row r="389" customFormat="false" ht="15" hidden="false" customHeight="false" outlineLevel="0" collapsed="false">
      <c r="A389" s="6" t="s">
        <v>193</v>
      </c>
      <c r="B389" s="6" t="s">
        <v>2913</v>
      </c>
      <c r="C389" s="6" t="s">
        <v>2594</v>
      </c>
      <c r="D389" s="6" t="s">
        <v>22</v>
      </c>
      <c r="E389" s="6" t="s">
        <v>2699</v>
      </c>
      <c r="F389" s="10" t="n">
        <v>359409</v>
      </c>
      <c r="G389" s="10" t="n">
        <v>15400000000</v>
      </c>
      <c r="H389" s="14" t="n">
        <v>0.15</v>
      </c>
      <c r="I389" s="9" t="s">
        <v>2713</v>
      </c>
      <c r="J389" s="9" t="s">
        <v>2917</v>
      </c>
      <c r="K389" s="6" t="s">
        <v>2913</v>
      </c>
      <c r="L389" s="9" t="s">
        <v>1814</v>
      </c>
    </row>
    <row r="390" customFormat="false" ht="15" hidden="false" customHeight="false" outlineLevel="0" collapsed="false">
      <c r="A390" s="6" t="s">
        <v>193</v>
      </c>
      <c r="B390" s="6" t="s">
        <v>2913</v>
      </c>
      <c r="C390" s="6" t="s">
        <v>2594</v>
      </c>
      <c r="D390" s="6" t="s">
        <v>22</v>
      </c>
      <c r="E390" s="6" t="s">
        <v>2750</v>
      </c>
      <c r="F390" s="10" t="n">
        <v>188858</v>
      </c>
      <c r="G390" s="10" t="n">
        <v>20000000000</v>
      </c>
      <c r="H390" s="14" t="n">
        <v>0.08</v>
      </c>
      <c r="I390" s="9" t="s">
        <v>2712</v>
      </c>
      <c r="J390" s="9" t="s">
        <v>1904</v>
      </c>
      <c r="K390" s="6" t="s">
        <v>2913</v>
      </c>
      <c r="L390" s="9" t="s">
        <v>1814</v>
      </c>
    </row>
    <row r="391" customFormat="false" ht="15" hidden="false" customHeight="false" outlineLevel="0" collapsed="false">
      <c r="A391" s="6" t="s">
        <v>193</v>
      </c>
      <c r="B391" s="6" t="s">
        <v>2913</v>
      </c>
      <c r="C391" s="6" t="s">
        <v>2594</v>
      </c>
      <c r="D391" s="6" t="s">
        <v>22</v>
      </c>
      <c r="E391" s="6" t="s">
        <v>2672</v>
      </c>
      <c r="F391" s="10" t="n">
        <v>126024</v>
      </c>
      <c r="G391" s="10" t="n">
        <v>10000000000</v>
      </c>
      <c r="H391" s="14" t="n">
        <v>0.05</v>
      </c>
      <c r="I391" s="9" t="s">
        <v>2389</v>
      </c>
      <c r="J391" s="9" t="s">
        <v>2918</v>
      </c>
      <c r="K391" s="6" t="s">
        <v>2913</v>
      </c>
      <c r="L391" s="9" t="s">
        <v>1814</v>
      </c>
    </row>
    <row r="392" customFormat="false" ht="15" hidden="false" customHeight="false" outlineLevel="0" collapsed="false">
      <c r="A392" s="6" t="s">
        <v>193</v>
      </c>
      <c r="B392" s="6" t="s">
        <v>2913</v>
      </c>
      <c r="C392" s="6" t="s">
        <v>2594</v>
      </c>
      <c r="D392" s="6" t="s">
        <v>22</v>
      </c>
      <c r="E392" s="6" t="s">
        <v>2919</v>
      </c>
      <c r="F392" s="10" t="n">
        <v>73336</v>
      </c>
      <c r="G392" s="10" t="n">
        <v>10000000000</v>
      </c>
      <c r="H392" s="14" t="n">
        <v>0.03</v>
      </c>
      <c r="I392" s="9" t="s">
        <v>2920</v>
      </c>
      <c r="J392" s="9" t="s">
        <v>1992</v>
      </c>
      <c r="K392" s="6" t="s">
        <v>2913</v>
      </c>
      <c r="L392" s="9" t="s">
        <v>1814</v>
      </c>
    </row>
    <row r="393" customFormat="false" ht="15" hidden="false" customHeight="false" outlineLevel="0" collapsed="false">
      <c r="A393" s="6" t="s">
        <v>193</v>
      </c>
      <c r="B393" s="6" t="s">
        <v>2913</v>
      </c>
      <c r="C393" s="6" t="s">
        <v>2594</v>
      </c>
      <c r="D393" s="6" t="s">
        <v>22</v>
      </c>
      <c r="E393" s="9" t="s">
        <v>2676</v>
      </c>
      <c r="F393" s="10" t="n">
        <v>89135</v>
      </c>
      <c r="G393" s="10" t="n">
        <v>10000000000</v>
      </c>
      <c r="H393" s="14" t="n">
        <v>0.04</v>
      </c>
      <c r="I393" s="9" t="s">
        <v>2436</v>
      </c>
      <c r="J393" s="9" t="s">
        <v>1904</v>
      </c>
      <c r="K393" s="6" t="s">
        <v>2913</v>
      </c>
      <c r="L393" s="9" t="s">
        <v>1814</v>
      </c>
    </row>
    <row r="394" customFormat="false" ht="15" hidden="false" customHeight="false" outlineLevel="0" collapsed="false">
      <c r="A394" s="6" t="s">
        <v>193</v>
      </c>
      <c r="B394" s="6" t="s">
        <v>2913</v>
      </c>
      <c r="C394" s="6" t="s">
        <v>2594</v>
      </c>
      <c r="D394" s="6" t="s">
        <v>22</v>
      </c>
      <c r="E394" s="6" t="s">
        <v>2750</v>
      </c>
      <c r="F394" s="10" t="n">
        <v>107875</v>
      </c>
      <c r="G394" s="10" t="n">
        <v>10000000000</v>
      </c>
      <c r="H394" s="14" t="n">
        <v>0.05</v>
      </c>
      <c r="I394" s="9" t="s">
        <v>2449</v>
      </c>
      <c r="J394" s="9" t="s">
        <v>2687</v>
      </c>
      <c r="K394" s="6" t="s">
        <v>2913</v>
      </c>
      <c r="L394" s="9" t="s">
        <v>1814</v>
      </c>
    </row>
    <row r="395" customFormat="false" ht="15" hidden="false" customHeight="false" outlineLevel="0" collapsed="false">
      <c r="A395" s="6" t="s">
        <v>193</v>
      </c>
      <c r="B395" s="6" t="s">
        <v>2913</v>
      </c>
      <c r="C395" s="6" t="s">
        <v>2594</v>
      </c>
      <c r="D395" s="6" t="s">
        <v>22</v>
      </c>
      <c r="E395" s="6" t="s">
        <v>2674</v>
      </c>
      <c r="F395" s="10" t="n">
        <v>481070</v>
      </c>
      <c r="G395" s="10" t="n">
        <v>50000000000</v>
      </c>
      <c r="H395" s="14" t="n">
        <v>0.21</v>
      </c>
      <c r="I395" s="9" t="s">
        <v>2921</v>
      </c>
      <c r="J395" s="9" t="s">
        <v>2922</v>
      </c>
      <c r="K395" s="6" t="s">
        <v>2913</v>
      </c>
      <c r="L395" s="9" t="s">
        <v>1814</v>
      </c>
    </row>
    <row r="396" customFormat="false" ht="15" hidden="false" customHeight="false" outlineLevel="0" collapsed="false">
      <c r="A396" s="6" t="s">
        <v>193</v>
      </c>
      <c r="B396" s="6" t="s">
        <v>2913</v>
      </c>
      <c r="C396" s="6" t="s">
        <v>2594</v>
      </c>
      <c r="D396" s="6" t="s">
        <v>22</v>
      </c>
      <c r="E396" s="6" t="s">
        <v>2677</v>
      </c>
      <c r="F396" s="10" t="n">
        <v>230912</v>
      </c>
      <c r="G396" s="10" t="n">
        <v>30000000000</v>
      </c>
      <c r="H396" s="14" t="n">
        <v>0.1</v>
      </c>
      <c r="I396" s="9" t="s">
        <v>2923</v>
      </c>
      <c r="J396" s="9" t="s">
        <v>1783</v>
      </c>
      <c r="K396" s="6" t="s">
        <v>2913</v>
      </c>
      <c r="L396" s="9" t="s">
        <v>1814</v>
      </c>
    </row>
    <row r="397" customFormat="false" ht="15" hidden="false" customHeight="false" outlineLevel="0" collapsed="false">
      <c r="A397" s="6" t="s">
        <v>193</v>
      </c>
      <c r="B397" s="6" t="s">
        <v>2913</v>
      </c>
      <c r="C397" s="6" t="s">
        <v>2594</v>
      </c>
      <c r="D397" s="6" t="s">
        <v>22</v>
      </c>
      <c r="E397" s="9" t="s">
        <v>2883</v>
      </c>
      <c r="F397" s="10" t="n">
        <v>96284</v>
      </c>
      <c r="G397" s="10" t="n">
        <v>10000000000</v>
      </c>
      <c r="H397" s="14" t="n">
        <v>0.04</v>
      </c>
      <c r="I397" s="9" t="s">
        <v>2924</v>
      </c>
      <c r="J397" s="9" t="s">
        <v>2925</v>
      </c>
      <c r="K397" s="6" t="s">
        <v>2913</v>
      </c>
      <c r="L397" s="9" t="s">
        <v>1814</v>
      </c>
    </row>
    <row r="398" customFormat="false" ht="15" hidden="false" customHeight="false" outlineLevel="0" collapsed="false">
      <c r="A398" s="6" t="s">
        <v>193</v>
      </c>
      <c r="B398" s="9" t="s">
        <v>2888</v>
      </c>
      <c r="C398" s="6" t="s">
        <v>2604</v>
      </c>
      <c r="D398" s="6" t="s">
        <v>22</v>
      </c>
      <c r="E398" s="6" t="s">
        <v>2750</v>
      </c>
      <c r="F398" s="10" t="n">
        <v>117889</v>
      </c>
      <c r="G398" s="10" t="n">
        <v>7999937700</v>
      </c>
      <c r="H398" s="14" t="n">
        <v>0.05</v>
      </c>
      <c r="I398" s="9" t="s">
        <v>2492</v>
      </c>
      <c r="J398" s="9" t="s">
        <v>2606</v>
      </c>
      <c r="K398" s="6" t="s">
        <v>2889</v>
      </c>
      <c r="L398" s="9" t="s">
        <v>2926</v>
      </c>
    </row>
    <row r="399" customFormat="false" ht="15" hidden="false" customHeight="false" outlineLevel="0" collapsed="false">
      <c r="A399" s="6" t="s">
        <v>193</v>
      </c>
      <c r="B399" s="9" t="s">
        <v>2888</v>
      </c>
      <c r="C399" s="6" t="s">
        <v>2604</v>
      </c>
      <c r="D399" s="6" t="s">
        <v>22</v>
      </c>
      <c r="E399" s="6" t="s">
        <v>2750</v>
      </c>
      <c r="F399" s="10" t="n">
        <v>44668</v>
      </c>
      <c r="G399" s="10" t="n">
        <v>8000000000</v>
      </c>
      <c r="H399" s="14" t="n">
        <v>0.02</v>
      </c>
      <c r="I399" s="9" t="s">
        <v>2890</v>
      </c>
      <c r="J399" s="9" t="s">
        <v>1791</v>
      </c>
      <c r="K399" s="6" t="s">
        <v>2889</v>
      </c>
      <c r="L399" s="9" t="s">
        <v>2926</v>
      </c>
    </row>
    <row r="400" customFormat="false" ht="15" hidden="false" customHeight="false" outlineLevel="0" collapsed="false">
      <c r="A400" s="6" t="s">
        <v>193</v>
      </c>
      <c r="B400" s="9" t="s">
        <v>2888</v>
      </c>
      <c r="C400" s="6" t="s">
        <v>2604</v>
      </c>
      <c r="D400" s="6" t="s">
        <v>22</v>
      </c>
      <c r="E400" s="6" t="s">
        <v>2665</v>
      </c>
      <c r="F400" s="10" t="n">
        <v>1405083</v>
      </c>
      <c r="G400" s="10" t="n">
        <v>130000000000</v>
      </c>
      <c r="H400" s="14" t="n">
        <v>0.6</v>
      </c>
      <c r="I400" s="9" t="s">
        <v>2366</v>
      </c>
      <c r="J400" s="9" t="s">
        <v>2927</v>
      </c>
      <c r="K400" s="6" t="s">
        <v>2889</v>
      </c>
      <c r="L400" s="9" t="s">
        <v>2926</v>
      </c>
    </row>
    <row r="401" customFormat="false" ht="15" hidden="false" customHeight="false" outlineLevel="0" collapsed="false">
      <c r="A401" s="6" t="s">
        <v>193</v>
      </c>
      <c r="B401" s="9" t="s">
        <v>2888</v>
      </c>
      <c r="C401" s="6" t="s">
        <v>2604</v>
      </c>
      <c r="D401" s="6" t="s">
        <v>22</v>
      </c>
      <c r="E401" s="6" t="s">
        <v>2699</v>
      </c>
      <c r="F401" s="10" t="n">
        <v>100000</v>
      </c>
      <c r="G401" s="10" t="n">
        <v>5000000000</v>
      </c>
      <c r="H401" s="14" t="n">
        <v>0.04</v>
      </c>
      <c r="I401" s="9" t="s">
        <v>2313</v>
      </c>
      <c r="J401" s="9" t="s">
        <v>1812</v>
      </c>
      <c r="K401" s="6" t="s">
        <v>2889</v>
      </c>
      <c r="L401" s="9" t="s">
        <v>2926</v>
      </c>
    </row>
    <row r="402" customFormat="false" ht="15" hidden="false" customHeight="false" outlineLevel="0" collapsed="false">
      <c r="A402" s="6" t="s">
        <v>193</v>
      </c>
      <c r="B402" s="9" t="s">
        <v>2888</v>
      </c>
      <c r="C402" s="6" t="s">
        <v>2604</v>
      </c>
      <c r="D402" s="6" t="s">
        <v>22</v>
      </c>
      <c r="E402" s="6" t="s">
        <v>2699</v>
      </c>
      <c r="F402" s="10" t="n">
        <v>200000</v>
      </c>
      <c r="G402" s="10" t="n">
        <v>10000000000</v>
      </c>
      <c r="H402" s="14" t="n">
        <v>0.09</v>
      </c>
      <c r="I402" s="9" t="s">
        <v>2531</v>
      </c>
      <c r="J402" s="9" t="s">
        <v>2892</v>
      </c>
      <c r="K402" s="6" t="s">
        <v>2889</v>
      </c>
      <c r="L402" s="9" t="s">
        <v>2926</v>
      </c>
    </row>
    <row r="403" customFormat="false" ht="15" hidden="false" customHeight="false" outlineLevel="0" collapsed="false">
      <c r="A403" s="6" t="s">
        <v>193</v>
      </c>
      <c r="B403" s="9" t="s">
        <v>2888</v>
      </c>
      <c r="C403" s="6" t="s">
        <v>2604</v>
      </c>
      <c r="D403" s="6" t="s">
        <v>22</v>
      </c>
      <c r="E403" s="6" t="s">
        <v>2699</v>
      </c>
      <c r="F403" s="10" t="n">
        <v>100000</v>
      </c>
      <c r="G403" s="10" t="n">
        <v>5000000000</v>
      </c>
      <c r="H403" s="14" t="n">
        <v>0.04</v>
      </c>
      <c r="I403" s="9" t="s">
        <v>2313</v>
      </c>
      <c r="J403" s="9" t="s">
        <v>1683</v>
      </c>
      <c r="K403" s="6" t="s">
        <v>2889</v>
      </c>
      <c r="L403" s="9" t="s">
        <v>2926</v>
      </c>
    </row>
    <row r="404" customFormat="false" ht="15" hidden="false" customHeight="false" outlineLevel="0" collapsed="false">
      <c r="A404" s="6" t="s">
        <v>193</v>
      </c>
      <c r="B404" s="9" t="s">
        <v>2888</v>
      </c>
      <c r="C404" s="6" t="s">
        <v>2604</v>
      </c>
      <c r="D404" s="6" t="s">
        <v>22</v>
      </c>
      <c r="E404" s="6" t="s">
        <v>2699</v>
      </c>
      <c r="F404" s="10" t="n">
        <v>470000</v>
      </c>
      <c r="G404" s="10" t="n">
        <v>25000000000</v>
      </c>
      <c r="H404" s="14" t="n">
        <v>0.2</v>
      </c>
      <c r="I404" s="9" t="s">
        <v>2893</v>
      </c>
      <c r="J404" s="9" t="s">
        <v>2894</v>
      </c>
      <c r="K404" s="6" t="s">
        <v>2889</v>
      </c>
      <c r="L404" s="9" t="s">
        <v>2926</v>
      </c>
    </row>
    <row r="405" customFormat="false" ht="15" hidden="false" customHeight="false" outlineLevel="0" collapsed="false">
      <c r="A405" s="6" t="s">
        <v>193</v>
      </c>
      <c r="B405" s="9" t="s">
        <v>2888</v>
      </c>
      <c r="C405" s="6" t="s">
        <v>2604</v>
      </c>
      <c r="D405" s="6" t="s">
        <v>22</v>
      </c>
      <c r="E405" s="6" t="s">
        <v>2628</v>
      </c>
      <c r="F405" s="10" t="n">
        <v>3385200</v>
      </c>
      <c r="G405" s="10" t="n">
        <v>150000000000</v>
      </c>
      <c r="H405" s="14" t="n">
        <v>1.45</v>
      </c>
      <c r="I405" s="9" t="s">
        <v>2553</v>
      </c>
      <c r="J405" s="9" t="s">
        <v>2895</v>
      </c>
      <c r="K405" s="6" t="s">
        <v>2889</v>
      </c>
      <c r="L405" s="9" t="s">
        <v>2926</v>
      </c>
    </row>
    <row r="406" customFormat="false" ht="15" hidden="false" customHeight="false" outlineLevel="0" collapsed="false">
      <c r="A406" s="6" t="s">
        <v>193</v>
      </c>
      <c r="B406" s="9" t="s">
        <v>2888</v>
      </c>
      <c r="C406" s="6" t="s">
        <v>2604</v>
      </c>
      <c r="D406" s="6" t="s">
        <v>22</v>
      </c>
      <c r="E406" s="6" t="s">
        <v>2667</v>
      </c>
      <c r="F406" s="10" t="n">
        <v>919287</v>
      </c>
      <c r="G406" s="10" t="n">
        <v>100000000000</v>
      </c>
      <c r="H406" s="14" t="n">
        <v>0.39</v>
      </c>
      <c r="I406" s="9" t="s">
        <v>2553</v>
      </c>
      <c r="J406" s="9" t="s">
        <v>2896</v>
      </c>
      <c r="K406" s="6" t="s">
        <v>2889</v>
      </c>
      <c r="L406" s="9" t="s">
        <v>2926</v>
      </c>
    </row>
    <row r="407" customFormat="false" ht="15" hidden="false" customHeight="false" outlineLevel="0" collapsed="false">
      <c r="A407" s="6" t="s">
        <v>193</v>
      </c>
      <c r="B407" s="9" t="s">
        <v>2888</v>
      </c>
      <c r="C407" s="6" t="s">
        <v>2604</v>
      </c>
      <c r="D407" s="6" t="s">
        <v>22</v>
      </c>
      <c r="E407" s="6" t="s">
        <v>2750</v>
      </c>
      <c r="F407" s="10" t="n">
        <v>444741</v>
      </c>
      <c r="G407" s="10" t="n">
        <v>39999946100</v>
      </c>
      <c r="H407" s="14" t="n">
        <v>0.19</v>
      </c>
      <c r="I407" s="9" t="s">
        <v>2655</v>
      </c>
      <c r="J407" s="9" t="s">
        <v>2403</v>
      </c>
      <c r="K407" s="6" t="s">
        <v>2889</v>
      </c>
      <c r="L407" s="9" t="s">
        <v>2926</v>
      </c>
    </row>
    <row r="408" customFormat="false" ht="15" hidden="false" customHeight="false" outlineLevel="0" collapsed="false">
      <c r="A408" s="6" t="s">
        <v>193</v>
      </c>
      <c r="B408" s="9" t="s">
        <v>2888</v>
      </c>
      <c r="C408" s="6" t="s">
        <v>2604</v>
      </c>
      <c r="D408" s="6" t="s">
        <v>22</v>
      </c>
      <c r="E408" s="6" t="s">
        <v>2777</v>
      </c>
      <c r="F408" s="10" t="n">
        <v>3850000</v>
      </c>
      <c r="G408" s="10" t="n">
        <v>149500000000</v>
      </c>
      <c r="H408" s="14" t="n">
        <v>1.65</v>
      </c>
      <c r="I408" s="9" t="s">
        <v>2138</v>
      </c>
      <c r="J408" s="9" t="s">
        <v>2897</v>
      </c>
      <c r="K408" s="6" t="s">
        <v>2889</v>
      </c>
      <c r="L408" s="9" t="s">
        <v>2926</v>
      </c>
    </row>
    <row r="409" customFormat="false" ht="15" hidden="false" customHeight="false" outlineLevel="0" collapsed="false">
      <c r="A409" s="6" t="s">
        <v>193</v>
      </c>
      <c r="B409" s="9" t="s">
        <v>2888</v>
      </c>
      <c r="C409" s="6" t="s">
        <v>2604</v>
      </c>
      <c r="D409" s="6" t="s">
        <v>22</v>
      </c>
      <c r="E409" s="6" t="s">
        <v>2663</v>
      </c>
      <c r="F409" s="10" t="n">
        <v>1000000</v>
      </c>
      <c r="G409" s="10" t="n">
        <v>100000000000</v>
      </c>
      <c r="H409" s="14" t="n">
        <v>0.43</v>
      </c>
      <c r="I409" s="9" t="s">
        <v>2783</v>
      </c>
      <c r="J409" s="9" t="s">
        <v>2148</v>
      </c>
      <c r="K409" s="6" t="s">
        <v>2889</v>
      </c>
      <c r="L409" s="9" t="s">
        <v>2926</v>
      </c>
    </row>
    <row r="410" customFormat="false" ht="15" hidden="false" customHeight="false" outlineLevel="0" collapsed="false">
      <c r="A410" s="6" t="s">
        <v>193</v>
      </c>
      <c r="B410" s="9" t="s">
        <v>2888</v>
      </c>
      <c r="C410" s="6" t="s">
        <v>2604</v>
      </c>
      <c r="D410" s="6" t="s">
        <v>22</v>
      </c>
      <c r="E410" s="6" t="s">
        <v>2750</v>
      </c>
      <c r="F410" s="10" t="n">
        <v>88795</v>
      </c>
      <c r="G410" s="10" t="n">
        <v>10000000000</v>
      </c>
      <c r="H410" s="14" t="n">
        <v>0.04</v>
      </c>
      <c r="I410" s="9" t="s">
        <v>2859</v>
      </c>
      <c r="J410" s="9" t="s">
        <v>2673</v>
      </c>
      <c r="K410" s="6" t="s">
        <v>2889</v>
      </c>
      <c r="L410" s="9" t="s">
        <v>2926</v>
      </c>
    </row>
    <row r="411" customFormat="false" ht="15" hidden="false" customHeight="false" outlineLevel="0" collapsed="false">
      <c r="A411" s="6" t="s">
        <v>193</v>
      </c>
      <c r="B411" s="9" t="s">
        <v>2888</v>
      </c>
      <c r="C411" s="6" t="s">
        <v>2604</v>
      </c>
      <c r="D411" s="6" t="s">
        <v>22</v>
      </c>
      <c r="E411" s="6" t="s">
        <v>2750</v>
      </c>
      <c r="F411" s="10" t="n">
        <v>36115</v>
      </c>
      <c r="G411" s="10" t="n">
        <v>4000000000</v>
      </c>
      <c r="H411" s="14" t="n">
        <v>0.02</v>
      </c>
      <c r="I411" s="9" t="s">
        <v>2492</v>
      </c>
      <c r="J411" s="9" t="s">
        <v>2898</v>
      </c>
      <c r="K411" s="6" t="s">
        <v>2889</v>
      </c>
      <c r="L411" s="9" t="s">
        <v>2926</v>
      </c>
    </row>
    <row r="412" customFormat="false" ht="15" hidden="false" customHeight="false" outlineLevel="0" collapsed="false">
      <c r="A412" s="6" t="s">
        <v>193</v>
      </c>
      <c r="B412" s="9" t="s">
        <v>2888</v>
      </c>
      <c r="C412" s="6" t="s">
        <v>2604</v>
      </c>
      <c r="D412" s="6" t="s">
        <v>22</v>
      </c>
      <c r="E412" s="6" t="s">
        <v>2626</v>
      </c>
      <c r="F412" s="10" t="n">
        <v>1500000</v>
      </c>
      <c r="G412" s="10" t="n">
        <v>100000000000</v>
      </c>
      <c r="H412" s="14" t="n">
        <v>0.64</v>
      </c>
      <c r="I412" s="9" t="s">
        <v>2138</v>
      </c>
      <c r="J412" s="9" t="s">
        <v>2899</v>
      </c>
      <c r="K412" s="6" t="s">
        <v>2889</v>
      </c>
      <c r="L412" s="9" t="s">
        <v>2926</v>
      </c>
    </row>
    <row r="413" customFormat="false" ht="15" hidden="false" customHeight="false" outlineLevel="0" collapsed="false">
      <c r="A413" s="6" t="s">
        <v>193</v>
      </c>
      <c r="B413" s="9" t="s">
        <v>2888</v>
      </c>
      <c r="C413" s="6" t="s">
        <v>2604</v>
      </c>
      <c r="D413" s="6" t="s">
        <v>22</v>
      </c>
      <c r="E413" s="6" t="s">
        <v>2900</v>
      </c>
      <c r="F413" s="10" t="n">
        <v>98766</v>
      </c>
      <c r="G413" s="10" t="n">
        <v>10000000000</v>
      </c>
      <c r="H413" s="14" t="n">
        <v>0.04</v>
      </c>
      <c r="I413" s="9" t="s">
        <v>2901</v>
      </c>
      <c r="J413" s="9" t="s">
        <v>2896</v>
      </c>
      <c r="K413" s="6" t="s">
        <v>2889</v>
      </c>
      <c r="L413" s="9" t="s">
        <v>2926</v>
      </c>
    </row>
    <row r="414" customFormat="false" ht="15" hidden="false" customHeight="false" outlineLevel="0" collapsed="false">
      <c r="A414" s="6" t="s">
        <v>193</v>
      </c>
      <c r="B414" s="9" t="s">
        <v>2888</v>
      </c>
      <c r="C414" s="6" t="s">
        <v>2604</v>
      </c>
      <c r="D414" s="6" t="s">
        <v>22</v>
      </c>
      <c r="E414" s="9" t="s">
        <v>2883</v>
      </c>
      <c r="F414" s="10" t="n">
        <v>114559</v>
      </c>
      <c r="G414" s="10" t="n">
        <v>12000000000</v>
      </c>
      <c r="H414" s="14" t="n">
        <v>0.05</v>
      </c>
      <c r="I414" s="9" t="s">
        <v>2687</v>
      </c>
      <c r="J414" s="9" t="s">
        <v>2925</v>
      </c>
      <c r="K414" s="6" t="s">
        <v>2889</v>
      </c>
      <c r="L414" s="9" t="s">
        <v>2926</v>
      </c>
    </row>
    <row r="415" customFormat="false" ht="15" hidden="false" customHeight="false" outlineLevel="0" collapsed="false">
      <c r="A415" s="6" t="s">
        <v>193</v>
      </c>
      <c r="B415" s="9" t="s">
        <v>2888</v>
      </c>
      <c r="C415" s="6" t="s">
        <v>2604</v>
      </c>
      <c r="D415" s="6" t="s">
        <v>22</v>
      </c>
      <c r="E415" s="6" t="s">
        <v>2699</v>
      </c>
      <c r="F415" s="10" t="n">
        <v>593668</v>
      </c>
      <c r="G415" s="10" t="n">
        <v>50000000000</v>
      </c>
      <c r="H415" s="14" t="n">
        <v>0.25</v>
      </c>
      <c r="I415" s="9" t="s">
        <v>2851</v>
      </c>
      <c r="J415" s="9" t="s">
        <v>2903</v>
      </c>
      <c r="K415" s="6" t="s">
        <v>2889</v>
      </c>
      <c r="L415" s="9" t="s">
        <v>2926</v>
      </c>
    </row>
    <row r="416" customFormat="false" ht="15" hidden="false" customHeight="false" outlineLevel="0" collapsed="false">
      <c r="A416" s="6" t="s">
        <v>193</v>
      </c>
      <c r="B416" s="9" t="s">
        <v>2888</v>
      </c>
      <c r="C416" s="6" t="s">
        <v>2604</v>
      </c>
      <c r="D416" s="6" t="s">
        <v>22</v>
      </c>
      <c r="E416" s="6" t="s">
        <v>2667</v>
      </c>
      <c r="F416" s="10" t="n">
        <v>71348</v>
      </c>
      <c r="G416" s="10" t="n">
        <v>5000000000</v>
      </c>
      <c r="H416" s="14" t="n">
        <v>0.03</v>
      </c>
      <c r="I416" s="9" t="s">
        <v>2366</v>
      </c>
      <c r="J416" s="9" t="s">
        <v>2928</v>
      </c>
      <c r="K416" s="6" t="s">
        <v>2889</v>
      </c>
      <c r="L416" s="9" t="s">
        <v>2926</v>
      </c>
    </row>
    <row r="417" customFormat="false" ht="15" hidden="false" customHeight="false" outlineLevel="0" collapsed="false">
      <c r="A417" s="6" t="s">
        <v>193</v>
      </c>
      <c r="B417" s="9" t="s">
        <v>2904</v>
      </c>
      <c r="C417" s="6" t="s">
        <v>2594</v>
      </c>
      <c r="D417" s="6" t="s">
        <v>22</v>
      </c>
      <c r="E417" s="6" t="s">
        <v>2665</v>
      </c>
      <c r="F417" s="10" t="n">
        <v>453135</v>
      </c>
      <c r="G417" s="10" t="n">
        <v>43000000000</v>
      </c>
      <c r="H417" s="14" t="n">
        <v>0.19</v>
      </c>
      <c r="I417" s="9" t="s">
        <v>2553</v>
      </c>
      <c r="J417" s="9" t="s">
        <v>2905</v>
      </c>
      <c r="K417" s="6" t="s">
        <v>2906</v>
      </c>
      <c r="L417" s="9" t="s">
        <v>2926</v>
      </c>
    </row>
    <row r="418" customFormat="false" ht="15" hidden="false" customHeight="false" outlineLevel="0" collapsed="false">
      <c r="A418" s="6" t="s">
        <v>193</v>
      </c>
      <c r="B418" s="9" t="s">
        <v>2904</v>
      </c>
      <c r="C418" s="6" t="s">
        <v>2594</v>
      </c>
      <c r="D418" s="6" t="s">
        <v>22</v>
      </c>
      <c r="E418" s="6" t="s">
        <v>2738</v>
      </c>
      <c r="F418" s="10" t="n">
        <v>118500</v>
      </c>
      <c r="G418" s="10" t="n">
        <v>5000000000</v>
      </c>
      <c r="H418" s="14" t="n">
        <v>0.05</v>
      </c>
      <c r="I418" s="9" t="s">
        <v>2687</v>
      </c>
      <c r="J418" s="9" t="s">
        <v>2929</v>
      </c>
      <c r="K418" s="6" t="s">
        <v>2906</v>
      </c>
      <c r="L418" s="9" t="s">
        <v>2926</v>
      </c>
    </row>
    <row r="419" customFormat="false" ht="15" hidden="false" customHeight="false" outlineLevel="0" collapsed="false">
      <c r="A419" s="6" t="s">
        <v>193</v>
      </c>
      <c r="B419" s="9" t="s">
        <v>2904</v>
      </c>
      <c r="C419" s="6" t="s">
        <v>2594</v>
      </c>
      <c r="D419" s="6" t="s">
        <v>22</v>
      </c>
      <c r="E419" s="6" t="s">
        <v>2738</v>
      </c>
      <c r="F419" s="10" t="n">
        <v>705000</v>
      </c>
      <c r="G419" s="10" t="n">
        <v>25000000000</v>
      </c>
      <c r="H419" s="14" t="n">
        <v>0.3</v>
      </c>
      <c r="I419" s="9" t="s">
        <v>2143</v>
      </c>
      <c r="J419" s="9" t="s">
        <v>2909</v>
      </c>
      <c r="K419" s="6" t="s">
        <v>2906</v>
      </c>
      <c r="L419" s="9" t="s">
        <v>2926</v>
      </c>
    </row>
    <row r="420" customFormat="false" ht="15" hidden="false" customHeight="false" outlineLevel="0" collapsed="false">
      <c r="A420" s="6" t="s">
        <v>193</v>
      </c>
      <c r="B420" s="9" t="s">
        <v>2904</v>
      </c>
      <c r="C420" s="6" t="s">
        <v>2594</v>
      </c>
      <c r="D420" s="6" t="s">
        <v>22</v>
      </c>
      <c r="E420" s="9" t="s">
        <v>2910</v>
      </c>
      <c r="F420" s="10" t="n">
        <v>40000</v>
      </c>
      <c r="G420" s="10" t="n">
        <v>2500000000</v>
      </c>
      <c r="H420" s="14" t="n">
        <v>0.02</v>
      </c>
      <c r="I420" s="9" t="s">
        <v>2687</v>
      </c>
      <c r="J420" s="9" t="s">
        <v>2930</v>
      </c>
      <c r="K420" s="6" t="s">
        <v>2906</v>
      </c>
      <c r="L420" s="9" t="s">
        <v>2926</v>
      </c>
    </row>
    <row r="421" customFormat="false" ht="15" hidden="false" customHeight="false" outlineLevel="0" collapsed="false">
      <c r="A421" s="6" t="s">
        <v>193</v>
      </c>
      <c r="B421" s="9" t="s">
        <v>2904</v>
      </c>
      <c r="C421" s="6" t="s">
        <v>2594</v>
      </c>
      <c r="D421" s="6" t="s">
        <v>22</v>
      </c>
      <c r="E421" s="6" t="s">
        <v>2667</v>
      </c>
      <c r="F421" s="10" t="n">
        <v>78927</v>
      </c>
      <c r="G421" s="10" t="n">
        <v>10000000000</v>
      </c>
      <c r="H421" s="14" t="n">
        <v>0.03</v>
      </c>
      <c r="I421" s="9" t="s">
        <v>2553</v>
      </c>
      <c r="J421" s="9" t="s">
        <v>2896</v>
      </c>
      <c r="K421" s="6" t="s">
        <v>2906</v>
      </c>
      <c r="L421" s="9" t="s">
        <v>2926</v>
      </c>
    </row>
    <row r="422" customFormat="false" ht="15" hidden="false" customHeight="false" outlineLevel="0" collapsed="false">
      <c r="A422" s="6" t="s">
        <v>193</v>
      </c>
      <c r="B422" s="9" t="s">
        <v>2904</v>
      </c>
      <c r="C422" s="6" t="s">
        <v>2594</v>
      </c>
      <c r="D422" s="6" t="s">
        <v>22</v>
      </c>
      <c r="E422" s="6" t="s">
        <v>2628</v>
      </c>
      <c r="F422" s="10" t="n">
        <v>333060</v>
      </c>
      <c r="G422" s="10" t="n">
        <v>10000000000</v>
      </c>
      <c r="H422" s="14" t="n">
        <v>0.14</v>
      </c>
      <c r="I422" s="9" t="s">
        <v>2553</v>
      </c>
      <c r="J422" s="9" t="s">
        <v>1683</v>
      </c>
      <c r="K422" s="6" t="s">
        <v>2906</v>
      </c>
      <c r="L422" s="9" t="s">
        <v>2926</v>
      </c>
    </row>
    <row r="423" customFormat="false" ht="15" hidden="false" customHeight="false" outlineLevel="0" collapsed="false">
      <c r="A423" s="6" t="s">
        <v>193</v>
      </c>
      <c r="B423" s="9" t="s">
        <v>2904</v>
      </c>
      <c r="C423" s="6" t="s">
        <v>2594</v>
      </c>
      <c r="D423" s="6" t="s">
        <v>22</v>
      </c>
      <c r="E423" s="6" t="s">
        <v>2626</v>
      </c>
      <c r="F423" s="10" t="n">
        <v>750000</v>
      </c>
      <c r="G423" s="10" t="n">
        <v>45000000000</v>
      </c>
      <c r="H423" s="14" t="n">
        <v>0.32</v>
      </c>
      <c r="I423" s="9" t="s">
        <v>2912</v>
      </c>
      <c r="J423" s="9" t="s">
        <v>2905</v>
      </c>
      <c r="K423" s="6" t="s">
        <v>2906</v>
      </c>
      <c r="L423" s="9" t="s">
        <v>2926</v>
      </c>
    </row>
    <row r="424" customFormat="false" ht="15" hidden="false" customHeight="false" outlineLevel="0" collapsed="false">
      <c r="A424" s="6" t="s">
        <v>193</v>
      </c>
      <c r="B424" s="9" t="s">
        <v>2904</v>
      </c>
      <c r="C424" s="6" t="s">
        <v>2594</v>
      </c>
      <c r="D424" s="6" t="s">
        <v>22</v>
      </c>
      <c r="E424" s="6" t="s">
        <v>2667</v>
      </c>
      <c r="F424" s="10" t="n">
        <v>76929</v>
      </c>
      <c r="G424" s="10" t="n">
        <v>10000000000</v>
      </c>
      <c r="H424" s="14" t="n">
        <v>0.03</v>
      </c>
      <c r="I424" s="9" t="s">
        <v>2553</v>
      </c>
      <c r="J424" s="9" t="s">
        <v>2896</v>
      </c>
      <c r="K424" s="6" t="s">
        <v>2906</v>
      </c>
      <c r="L424" s="9" t="s">
        <v>2926</v>
      </c>
    </row>
    <row r="425" customFormat="false" ht="15" hidden="false" customHeight="false" outlineLevel="0" collapsed="false">
      <c r="A425" s="6" t="s">
        <v>193</v>
      </c>
      <c r="B425" s="9" t="s">
        <v>2904</v>
      </c>
      <c r="C425" s="6" t="s">
        <v>2594</v>
      </c>
      <c r="D425" s="6" t="s">
        <v>22</v>
      </c>
      <c r="E425" s="9" t="s">
        <v>2878</v>
      </c>
      <c r="F425" s="10" t="n">
        <v>108696</v>
      </c>
      <c r="G425" s="10" t="n">
        <v>10000000000</v>
      </c>
      <c r="H425" s="14" t="n">
        <v>0.05</v>
      </c>
      <c r="I425" s="9" t="s">
        <v>2375</v>
      </c>
      <c r="J425" s="9" t="s">
        <v>1880</v>
      </c>
      <c r="K425" s="6" t="s">
        <v>2906</v>
      </c>
      <c r="L425" s="9" t="s">
        <v>2926</v>
      </c>
    </row>
    <row r="426" customFormat="false" ht="15" hidden="false" customHeight="false" outlineLevel="0" collapsed="false">
      <c r="A426" s="6" t="s">
        <v>193</v>
      </c>
      <c r="B426" s="6" t="s">
        <v>2913</v>
      </c>
      <c r="C426" s="6" t="s">
        <v>2594</v>
      </c>
      <c r="D426" s="6" t="s">
        <v>22</v>
      </c>
      <c r="E426" s="6" t="s">
        <v>2699</v>
      </c>
      <c r="F426" s="10" t="n">
        <v>269557</v>
      </c>
      <c r="G426" s="10" t="n">
        <v>10000000000</v>
      </c>
      <c r="H426" s="14" t="n">
        <v>0.12</v>
      </c>
      <c r="I426" s="9" t="s">
        <v>2914</v>
      </c>
      <c r="J426" s="9" t="s">
        <v>2915</v>
      </c>
      <c r="K426" s="6" t="s">
        <v>2913</v>
      </c>
      <c r="L426" s="9" t="s">
        <v>2926</v>
      </c>
    </row>
    <row r="427" customFormat="false" ht="15" hidden="false" customHeight="false" outlineLevel="0" collapsed="false">
      <c r="A427" s="6" t="s">
        <v>193</v>
      </c>
      <c r="B427" s="6" t="s">
        <v>2913</v>
      </c>
      <c r="C427" s="6" t="s">
        <v>2594</v>
      </c>
      <c r="D427" s="6" t="s">
        <v>22</v>
      </c>
      <c r="E427" s="6" t="s">
        <v>2665</v>
      </c>
      <c r="F427" s="10" t="n">
        <v>1613000</v>
      </c>
      <c r="G427" s="10" t="n">
        <v>165000000000</v>
      </c>
      <c r="H427" s="14" t="n">
        <v>0.69</v>
      </c>
      <c r="I427" s="9" t="s">
        <v>2553</v>
      </c>
      <c r="J427" s="9" t="s">
        <v>2916</v>
      </c>
      <c r="K427" s="6" t="s">
        <v>2913</v>
      </c>
      <c r="L427" s="9" t="s">
        <v>2926</v>
      </c>
    </row>
    <row r="428" customFormat="false" ht="15" hidden="false" customHeight="false" outlineLevel="0" collapsed="false">
      <c r="A428" s="6" t="s">
        <v>193</v>
      </c>
      <c r="B428" s="6" t="s">
        <v>2913</v>
      </c>
      <c r="C428" s="6" t="s">
        <v>2594</v>
      </c>
      <c r="D428" s="6" t="s">
        <v>22</v>
      </c>
      <c r="E428" s="6" t="s">
        <v>2628</v>
      </c>
      <c r="F428" s="10" t="n">
        <v>35940</v>
      </c>
      <c r="G428" s="10" t="n">
        <v>3000000000</v>
      </c>
      <c r="H428" s="14" t="n">
        <v>0.02</v>
      </c>
      <c r="I428" s="9" t="s">
        <v>2454</v>
      </c>
      <c r="J428" s="9" t="s">
        <v>2917</v>
      </c>
      <c r="K428" s="6" t="s">
        <v>2913</v>
      </c>
      <c r="L428" s="9" t="s">
        <v>2926</v>
      </c>
    </row>
    <row r="429" customFormat="false" ht="15" hidden="false" customHeight="false" outlineLevel="0" collapsed="false">
      <c r="A429" s="6" t="s">
        <v>193</v>
      </c>
      <c r="B429" s="6" t="s">
        <v>2913</v>
      </c>
      <c r="C429" s="6" t="s">
        <v>2594</v>
      </c>
      <c r="D429" s="6" t="s">
        <v>22</v>
      </c>
      <c r="E429" s="6" t="s">
        <v>2667</v>
      </c>
      <c r="F429" s="10" t="n">
        <v>223158</v>
      </c>
      <c r="G429" s="10" t="n">
        <v>25000000000</v>
      </c>
      <c r="H429" s="14" t="n">
        <v>0.1</v>
      </c>
      <c r="I429" s="9" t="s">
        <v>2553</v>
      </c>
      <c r="J429" s="9" t="s">
        <v>2896</v>
      </c>
      <c r="K429" s="6" t="s">
        <v>2913</v>
      </c>
      <c r="L429" s="9" t="s">
        <v>2926</v>
      </c>
    </row>
    <row r="430" customFormat="false" ht="15" hidden="false" customHeight="false" outlineLevel="0" collapsed="false">
      <c r="A430" s="6" t="s">
        <v>193</v>
      </c>
      <c r="B430" s="6" t="s">
        <v>2913</v>
      </c>
      <c r="C430" s="6" t="s">
        <v>2594</v>
      </c>
      <c r="D430" s="6" t="s">
        <v>22</v>
      </c>
      <c r="E430" s="6" t="s">
        <v>2667</v>
      </c>
      <c r="F430" s="10" t="n">
        <v>181300</v>
      </c>
      <c r="G430" s="10" t="n">
        <v>20000000000</v>
      </c>
      <c r="H430" s="14" t="n">
        <v>0.08</v>
      </c>
      <c r="I430" s="9" t="s">
        <v>2553</v>
      </c>
      <c r="J430" s="9" t="s">
        <v>2896</v>
      </c>
      <c r="K430" s="6" t="s">
        <v>2913</v>
      </c>
      <c r="L430" s="9" t="s">
        <v>2926</v>
      </c>
    </row>
    <row r="431" customFormat="false" ht="15" hidden="false" customHeight="false" outlineLevel="0" collapsed="false">
      <c r="A431" s="6" t="s">
        <v>193</v>
      </c>
      <c r="B431" s="6" t="s">
        <v>2913</v>
      </c>
      <c r="C431" s="6" t="s">
        <v>2594</v>
      </c>
      <c r="D431" s="6" t="s">
        <v>22</v>
      </c>
      <c r="E431" s="6" t="s">
        <v>2900</v>
      </c>
      <c r="F431" s="10" t="n">
        <v>338154</v>
      </c>
      <c r="G431" s="10" t="n">
        <v>24500000000</v>
      </c>
      <c r="H431" s="14" t="n">
        <v>0.14</v>
      </c>
      <c r="I431" s="9" t="s">
        <v>2492</v>
      </c>
      <c r="J431" s="9" t="s">
        <v>1783</v>
      </c>
      <c r="K431" s="6" t="s">
        <v>2913</v>
      </c>
      <c r="L431" s="9" t="s">
        <v>2926</v>
      </c>
    </row>
    <row r="432" customFormat="false" ht="15" hidden="false" customHeight="false" outlineLevel="0" collapsed="false">
      <c r="A432" s="6" t="s">
        <v>193</v>
      </c>
      <c r="B432" s="6" t="s">
        <v>2913</v>
      </c>
      <c r="C432" s="6" t="s">
        <v>2594</v>
      </c>
      <c r="D432" s="6" t="s">
        <v>22</v>
      </c>
      <c r="E432" s="6" t="s">
        <v>2699</v>
      </c>
      <c r="F432" s="10" t="n">
        <v>247094</v>
      </c>
      <c r="G432" s="10" t="n">
        <v>9790000000</v>
      </c>
      <c r="H432" s="14" t="n">
        <v>0.11</v>
      </c>
      <c r="I432" s="9" t="s">
        <v>2713</v>
      </c>
      <c r="J432" s="9" t="s">
        <v>2917</v>
      </c>
      <c r="K432" s="6" t="s">
        <v>2913</v>
      </c>
      <c r="L432" s="9" t="s">
        <v>2926</v>
      </c>
    </row>
    <row r="433" customFormat="false" ht="15" hidden="false" customHeight="false" outlineLevel="0" collapsed="false">
      <c r="A433" s="6" t="s">
        <v>193</v>
      </c>
      <c r="B433" s="6" t="s">
        <v>2913</v>
      </c>
      <c r="C433" s="6" t="s">
        <v>2594</v>
      </c>
      <c r="D433" s="6" t="s">
        <v>22</v>
      </c>
      <c r="E433" s="6" t="s">
        <v>2699</v>
      </c>
      <c r="F433" s="10" t="n">
        <v>359409</v>
      </c>
      <c r="G433" s="10" t="n">
        <v>15400000000</v>
      </c>
      <c r="H433" s="14" t="n">
        <v>0.15</v>
      </c>
      <c r="I433" s="9" t="s">
        <v>2713</v>
      </c>
      <c r="J433" s="9" t="s">
        <v>2917</v>
      </c>
      <c r="K433" s="6" t="s">
        <v>2913</v>
      </c>
      <c r="L433" s="9" t="s">
        <v>2926</v>
      </c>
    </row>
    <row r="434" customFormat="false" ht="15" hidden="false" customHeight="false" outlineLevel="0" collapsed="false">
      <c r="A434" s="6" t="s">
        <v>193</v>
      </c>
      <c r="B434" s="6" t="s">
        <v>2913</v>
      </c>
      <c r="C434" s="6" t="s">
        <v>2594</v>
      </c>
      <c r="D434" s="6" t="s">
        <v>22</v>
      </c>
      <c r="E434" s="6" t="s">
        <v>2750</v>
      </c>
      <c r="F434" s="10" t="n">
        <v>188858</v>
      </c>
      <c r="G434" s="10" t="n">
        <v>20000000000</v>
      </c>
      <c r="H434" s="14" t="n">
        <v>0.08</v>
      </c>
      <c r="I434" s="9" t="s">
        <v>2712</v>
      </c>
      <c r="J434" s="9" t="s">
        <v>1904</v>
      </c>
      <c r="K434" s="6" t="s">
        <v>2913</v>
      </c>
      <c r="L434" s="9" t="s">
        <v>2926</v>
      </c>
    </row>
    <row r="435" customFormat="false" ht="15" hidden="false" customHeight="false" outlineLevel="0" collapsed="false">
      <c r="A435" s="6" t="s">
        <v>193</v>
      </c>
      <c r="B435" s="6" t="s">
        <v>2913</v>
      </c>
      <c r="C435" s="6" t="s">
        <v>2594</v>
      </c>
      <c r="D435" s="6" t="s">
        <v>22</v>
      </c>
      <c r="E435" s="6" t="s">
        <v>2672</v>
      </c>
      <c r="F435" s="10" t="n">
        <v>126024</v>
      </c>
      <c r="G435" s="10" t="n">
        <v>10000000000</v>
      </c>
      <c r="H435" s="14" t="n">
        <v>0.05</v>
      </c>
      <c r="I435" s="9" t="s">
        <v>2389</v>
      </c>
      <c r="J435" s="9" t="s">
        <v>2918</v>
      </c>
      <c r="K435" s="6" t="s">
        <v>2913</v>
      </c>
      <c r="L435" s="9" t="s">
        <v>2926</v>
      </c>
    </row>
    <row r="436" customFormat="false" ht="15" hidden="false" customHeight="false" outlineLevel="0" collapsed="false">
      <c r="A436" s="6" t="s">
        <v>193</v>
      </c>
      <c r="B436" s="6" t="s">
        <v>2913</v>
      </c>
      <c r="C436" s="6" t="s">
        <v>2594</v>
      </c>
      <c r="D436" s="6" t="s">
        <v>22</v>
      </c>
      <c r="E436" s="6" t="s">
        <v>2919</v>
      </c>
      <c r="F436" s="10" t="n">
        <v>73336</v>
      </c>
      <c r="G436" s="10" t="n">
        <v>10000000000</v>
      </c>
      <c r="H436" s="14" t="n">
        <v>0.03</v>
      </c>
      <c r="I436" s="9" t="s">
        <v>2920</v>
      </c>
      <c r="J436" s="9" t="s">
        <v>1992</v>
      </c>
      <c r="K436" s="6" t="s">
        <v>2913</v>
      </c>
      <c r="L436" s="9" t="s">
        <v>2926</v>
      </c>
    </row>
    <row r="437" customFormat="false" ht="15" hidden="false" customHeight="false" outlineLevel="0" collapsed="false">
      <c r="A437" s="6" t="s">
        <v>193</v>
      </c>
      <c r="B437" s="6" t="s">
        <v>2913</v>
      </c>
      <c r="C437" s="6" t="s">
        <v>2594</v>
      </c>
      <c r="D437" s="6" t="s">
        <v>22</v>
      </c>
      <c r="E437" s="9" t="s">
        <v>2676</v>
      </c>
      <c r="F437" s="10" t="n">
        <v>89135</v>
      </c>
      <c r="G437" s="10" t="n">
        <v>10000000000</v>
      </c>
      <c r="H437" s="14" t="n">
        <v>0.04</v>
      </c>
      <c r="I437" s="9" t="s">
        <v>2436</v>
      </c>
      <c r="J437" s="9" t="s">
        <v>1904</v>
      </c>
      <c r="K437" s="6" t="s">
        <v>2913</v>
      </c>
      <c r="L437" s="9" t="s">
        <v>2926</v>
      </c>
    </row>
    <row r="438" customFormat="false" ht="15" hidden="false" customHeight="false" outlineLevel="0" collapsed="false">
      <c r="A438" s="6" t="s">
        <v>193</v>
      </c>
      <c r="B438" s="6" t="s">
        <v>2913</v>
      </c>
      <c r="C438" s="6" t="s">
        <v>2594</v>
      </c>
      <c r="D438" s="6" t="s">
        <v>22</v>
      </c>
      <c r="E438" s="6" t="s">
        <v>2750</v>
      </c>
      <c r="F438" s="10" t="n">
        <v>107875</v>
      </c>
      <c r="G438" s="10" t="n">
        <v>10000000000</v>
      </c>
      <c r="H438" s="14" t="n">
        <v>0.05</v>
      </c>
      <c r="I438" s="9" t="s">
        <v>2931</v>
      </c>
      <c r="J438" s="9" t="s">
        <v>2932</v>
      </c>
      <c r="K438" s="6" t="s">
        <v>2913</v>
      </c>
      <c r="L438" s="9" t="s">
        <v>2926</v>
      </c>
    </row>
    <row r="439" customFormat="false" ht="15" hidden="false" customHeight="false" outlineLevel="0" collapsed="false">
      <c r="A439" s="6" t="s">
        <v>193</v>
      </c>
      <c r="B439" s="6" t="s">
        <v>2913</v>
      </c>
      <c r="C439" s="6" t="s">
        <v>2594</v>
      </c>
      <c r="D439" s="6" t="s">
        <v>22</v>
      </c>
      <c r="E439" s="6" t="s">
        <v>2674</v>
      </c>
      <c r="F439" s="10" t="n">
        <v>481070</v>
      </c>
      <c r="G439" s="10" t="n">
        <v>50000000000</v>
      </c>
      <c r="H439" s="14" t="n">
        <v>0.21</v>
      </c>
      <c r="I439" s="9" t="s">
        <v>2921</v>
      </c>
      <c r="J439" s="9" t="s">
        <v>2922</v>
      </c>
      <c r="K439" s="6" t="s">
        <v>2913</v>
      </c>
      <c r="L439" s="9" t="s">
        <v>2926</v>
      </c>
    </row>
    <row r="440" customFormat="false" ht="15" hidden="false" customHeight="false" outlineLevel="0" collapsed="false">
      <c r="A440" s="6" t="s">
        <v>193</v>
      </c>
      <c r="B440" s="6" t="s">
        <v>2913</v>
      </c>
      <c r="C440" s="6" t="s">
        <v>2594</v>
      </c>
      <c r="D440" s="6" t="s">
        <v>22</v>
      </c>
      <c r="E440" s="6" t="s">
        <v>2677</v>
      </c>
      <c r="F440" s="10" t="n">
        <v>230912</v>
      </c>
      <c r="G440" s="10" t="n">
        <v>30000000000</v>
      </c>
      <c r="H440" s="14" t="n">
        <v>0.1</v>
      </c>
      <c r="I440" s="9" t="s">
        <v>2923</v>
      </c>
      <c r="J440" s="9" t="s">
        <v>1783</v>
      </c>
      <c r="K440" s="6" t="s">
        <v>2913</v>
      </c>
      <c r="L440" s="9" t="s">
        <v>2926</v>
      </c>
    </row>
    <row r="441" customFormat="false" ht="15" hidden="false" customHeight="false" outlineLevel="0" collapsed="false">
      <c r="A441" s="6" t="s">
        <v>193</v>
      </c>
      <c r="B441" s="6" t="s">
        <v>2913</v>
      </c>
      <c r="C441" s="6" t="s">
        <v>2594</v>
      </c>
      <c r="D441" s="6" t="s">
        <v>22</v>
      </c>
      <c r="E441" s="9" t="s">
        <v>2883</v>
      </c>
      <c r="F441" s="10" t="n">
        <v>96284</v>
      </c>
      <c r="G441" s="10" t="n">
        <v>10000000000</v>
      </c>
      <c r="H441" s="14" t="n">
        <v>0.04</v>
      </c>
      <c r="I441" s="9" t="s">
        <v>2924</v>
      </c>
      <c r="J441" s="9" t="s">
        <v>2925</v>
      </c>
      <c r="K441" s="6" t="s">
        <v>2913</v>
      </c>
      <c r="L441" s="9" t="s">
        <v>2926</v>
      </c>
    </row>
    <row r="442" customFormat="false" ht="15" hidden="false" customHeight="false" outlineLevel="0" collapsed="false">
      <c r="A442" s="6" t="s">
        <v>193</v>
      </c>
      <c r="B442" s="6" t="s">
        <v>2913</v>
      </c>
      <c r="C442" s="6" t="s">
        <v>2594</v>
      </c>
      <c r="D442" s="6" t="s">
        <v>22</v>
      </c>
      <c r="E442" s="6" t="s">
        <v>2667</v>
      </c>
      <c r="F442" s="10" t="n">
        <v>428083</v>
      </c>
      <c r="G442" s="10" t="n">
        <v>30000000000</v>
      </c>
      <c r="H442" s="14" t="n">
        <v>0.18</v>
      </c>
      <c r="I442" s="9" t="s">
        <v>2366</v>
      </c>
      <c r="J442" s="9" t="s">
        <v>2928</v>
      </c>
      <c r="K442" s="6" t="s">
        <v>2913</v>
      </c>
      <c r="L442" s="9" t="s">
        <v>2926</v>
      </c>
    </row>
    <row r="443" customFormat="false" ht="15" hidden="false" customHeight="false" outlineLevel="0" collapsed="false">
      <c r="A443" s="6" t="s">
        <v>345</v>
      </c>
      <c r="B443" s="9" t="s">
        <v>2933</v>
      </c>
      <c r="C443" s="6" t="s">
        <v>2594</v>
      </c>
      <c r="D443" s="6" t="s">
        <v>2589</v>
      </c>
      <c r="E443" s="9" t="s">
        <v>2934</v>
      </c>
      <c r="F443" s="10" t="n">
        <v>100000</v>
      </c>
      <c r="G443" s="10" t="n">
        <v>3500000000</v>
      </c>
      <c r="H443" s="14" t="n">
        <v>0.46</v>
      </c>
      <c r="I443" s="9" t="s">
        <v>2860</v>
      </c>
      <c r="J443" s="6"/>
      <c r="K443" s="9" t="s">
        <v>2933</v>
      </c>
      <c r="L443" s="9" t="s">
        <v>2022</v>
      </c>
    </row>
    <row r="444" customFormat="false" ht="15" hidden="false" customHeight="false" outlineLevel="0" collapsed="false">
      <c r="A444" s="6" t="s">
        <v>345</v>
      </c>
      <c r="B444" s="9" t="s">
        <v>2933</v>
      </c>
      <c r="C444" s="6" t="s">
        <v>2594</v>
      </c>
      <c r="D444" s="6" t="s">
        <v>2589</v>
      </c>
      <c r="E444" s="9" t="s">
        <v>2934</v>
      </c>
      <c r="F444" s="10" t="n">
        <v>100000</v>
      </c>
      <c r="G444" s="10" t="n">
        <v>3500000000</v>
      </c>
      <c r="H444" s="14" t="n">
        <v>0.46</v>
      </c>
      <c r="I444" s="9" t="s">
        <v>2860</v>
      </c>
      <c r="J444" s="6"/>
      <c r="K444" s="9" t="s">
        <v>2933</v>
      </c>
      <c r="L444" s="9" t="s">
        <v>2935</v>
      </c>
    </row>
    <row r="445" customFormat="false" ht="15" hidden="false" customHeight="false" outlineLevel="0" collapsed="false">
      <c r="A445" s="6" t="s">
        <v>61</v>
      </c>
      <c r="B445" s="6" t="s">
        <v>2936</v>
      </c>
      <c r="C445" s="6" t="s">
        <v>2604</v>
      </c>
      <c r="D445" s="6" t="s">
        <v>2937</v>
      </c>
      <c r="E445" s="6" t="s">
        <v>2938</v>
      </c>
      <c r="F445" s="10" t="n">
        <v>2665121</v>
      </c>
      <c r="G445" s="10"/>
      <c r="H445" s="14" t="n">
        <v>7.85</v>
      </c>
      <c r="I445" s="9" t="s">
        <v>2553</v>
      </c>
      <c r="J445" s="9" t="s">
        <v>2094</v>
      </c>
      <c r="K445" s="6"/>
      <c r="L445" s="9" t="s">
        <v>1987</v>
      </c>
    </row>
    <row r="446" customFormat="false" ht="15" hidden="false" customHeight="false" outlineLevel="0" collapsed="false">
      <c r="A446" s="6" t="s">
        <v>61</v>
      </c>
      <c r="B446" s="6" t="s">
        <v>2939</v>
      </c>
      <c r="C446" s="6" t="s">
        <v>2604</v>
      </c>
      <c r="D446" s="6" t="s">
        <v>2937</v>
      </c>
      <c r="E446" s="6" t="s">
        <v>2940</v>
      </c>
      <c r="F446" s="10" t="n">
        <v>2300000</v>
      </c>
      <c r="G446" s="10" t="n">
        <v>18000000000</v>
      </c>
      <c r="H446" s="14" t="n">
        <v>6.77</v>
      </c>
      <c r="I446" s="9" t="s">
        <v>2941</v>
      </c>
      <c r="J446" s="9" t="s">
        <v>2903</v>
      </c>
      <c r="K446" s="9" t="s">
        <v>2645</v>
      </c>
      <c r="L446" s="9" t="s">
        <v>2942</v>
      </c>
    </row>
    <row r="447" customFormat="false" ht="15" hidden="false" customHeight="false" outlineLevel="0" collapsed="false">
      <c r="A447" s="6" t="s">
        <v>61</v>
      </c>
      <c r="B447" s="6" t="s">
        <v>2939</v>
      </c>
      <c r="C447" s="6" t="s">
        <v>2604</v>
      </c>
      <c r="D447" s="6" t="s">
        <v>2937</v>
      </c>
      <c r="E447" s="6" t="s">
        <v>2699</v>
      </c>
      <c r="F447" s="10" t="n">
        <v>1300000</v>
      </c>
      <c r="G447" s="10" t="n">
        <v>12000000000</v>
      </c>
      <c r="H447" s="14" t="n">
        <v>3.83</v>
      </c>
      <c r="I447" s="9" t="s">
        <v>2943</v>
      </c>
      <c r="J447" s="9" t="s">
        <v>2944</v>
      </c>
      <c r="K447" s="9" t="s">
        <v>2645</v>
      </c>
      <c r="L447" s="9" t="s">
        <v>2942</v>
      </c>
    </row>
    <row r="448" customFormat="false" ht="15" hidden="false" customHeight="false" outlineLevel="0" collapsed="false">
      <c r="A448" s="6" t="s">
        <v>61</v>
      </c>
      <c r="B448" s="6" t="s">
        <v>2939</v>
      </c>
      <c r="C448" s="6" t="s">
        <v>2604</v>
      </c>
      <c r="D448" s="6" t="s">
        <v>2589</v>
      </c>
      <c r="E448" s="6" t="s">
        <v>2674</v>
      </c>
      <c r="F448" s="10" t="n">
        <v>14533</v>
      </c>
      <c r="G448" s="10" t="n">
        <v>1500000000</v>
      </c>
      <c r="H448" s="14" t="n">
        <v>0.04</v>
      </c>
      <c r="I448" s="9" t="s">
        <v>2945</v>
      </c>
      <c r="J448" s="9" t="s">
        <v>1677</v>
      </c>
      <c r="K448" s="9" t="s">
        <v>2645</v>
      </c>
      <c r="L448" s="9" t="s">
        <v>2942</v>
      </c>
    </row>
    <row r="449" customFormat="false" ht="15" hidden="false" customHeight="false" outlineLevel="0" collapsed="false">
      <c r="A449" s="6" t="s">
        <v>61</v>
      </c>
      <c r="B449" s="6" t="s">
        <v>2939</v>
      </c>
      <c r="C449" s="6" t="s">
        <v>2604</v>
      </c>
      <c r="D449" s="6" t="s">
        <v>2589</v>
      </c>
      <c r="E449" s="6" t="s">
        <v>2665</v>
      </c>
      <c r="F449" s="10" t="n">
        <v>400000</v>
      </c>
      <c r="G449" s="10" t="n">
        <v>3000000000</v>
      </c>
      <c r="H449" s="14" t="n">
        <v>1.18</v>
      </c>
      <c r="I449" s="9" t="s">
        <v>2946</v>
      </c>
      <c r="J449" s="9" t="s">
        <v>2947</v>
      </c>
      <c r="K449" s="9" t="s">
        <v>2645</v>
      </c>
      <c r="L449" s="9" t="s">
        <v>2942</v>
      </c>
    </row>
    <row r="450" customFormat="false" ht="15" hidden="false" customHeight="false" outlineLevel="0" collapsed="false">
      <c r="A450" s="6" t="s">
        <v>61</v>
      </c>
      <c r="B450" s="6" t="s">
        <v>2939</v>
      </c>
      <c r="C450" s="6" t="s">
        <v>2604</v>
      </c>
      <c r="D450" s="6" t="s">
        <v>2589</v>
      </c>
      <c r="E450" s="6" t="s">
        <v>2674</v>
      </c>
      <c r="F450" s="10" t="n">
        <v>83857</v>
      </c>
      <c r="G450" s="10" t="n">
        <v>2000000000</v>
      </c>
      <c r="H450" s="14" t="n">
        <v>0.25</v>
      </c>
      <c r="I450" s="9" t="s">
        <v>2948</v>
      </c>
      <c r="J450" s="9" t="s">
        <v>1677</v>
      </c>
      <c r="K450" s="9" t="s">
        <v>2645</v>
      </c>
      <c r="L450" s="9" t="s">
        <v>2942</v>
      </c>
    </row>
    <row r="451" customFormat="false" ht="15" hidden="false" customHeight="false" outlineLevel="0" collapsed="false">
      <c r="A451" s="6" t="s">
        <v>61</v>
      </c>
      <c r="B451" s="6" t="s">
        <v>2939</v>
      </c>
      <c r="C451" s="6" t="s">
        <v>2604</v>
      </c>
      <c r="D451" s="6" t="s">
        <v>2589</v>
      </c>
      <c r="E451" s="6" t="s">
        <v>2672</v>
      </c>
      <c r="F451" s="10" t="n">
        <v>185529</v>
      </c>
      <c r="G451" s="10" t="n">
        <v>2000000000</v>
      </c>
      <c r="H451" s="14" t="n">
        <v>0.55</v>
      </c>
      <c r="I451" s="9" t="s">
        <v>2949</v>
      </c>
      <c r="J451" s="9" t="s">
        <v>1985</v>
      </c>
      <c r="K451" s="9" t="s">
        <v>2645</v>
      </c>
      <c r="L451" s="9" t="s">
        <v>2942</v>
      </c>
    </row>
    <row r="452" customFormat="false" ht="15" hidden="false" customHeight="false" outlineLevel="0" collapsed="false">
      <c r="A452" s="6" t="s">
        <v>61</v>
      </c>
      <c r="B452" s="6" t="s">
        <v>2939</v>
      </c>
      <c r="C452" s="6" t="s">
        <v>2604</v>
      </c>
      <c r="D452" s="6" t="s">
        <v>2589</v>
      </c>
      <c r="E452" s="6" t="s">
        <v>2950</v>
      </c>
      <c r="F452" s="10" t="n">
        <v>602837</v>
      </c>
      <c r="G452" s="10" t="n">
        <v>8500000000</v>
      </c>
      <c r="H452" s="14" t="n">
        <v>1.78</v>
      </c>
      <c r="I452" s="9" t="s">
        <v>2951</v>
      </c>
      <c r="J452" s="9" t="s">
        <v>2094</v>
      </c>
      <c r="K452" s="9" t="s">
        <v>2645</v>
      </c>
      <c r="L452" s="9" t="s">
        <v>2942</v>
      </c>
    </row>
    <row r="453" customFormat="false" ht="15" hidden="false" customHeight="false" outlineLevel="0" collapsed="false">
      <c r="A453" s="6" t="s">
        <v>61</v>
      </c>
      <c r="B453" s="6" t="s">
        <v>2939</v>
      </c>
      <c r="C453" s="6" t="s">
        <v>2604</v>
      </c>
      <c r="D453" s="6" t="s">
        <v>2589</v>
      </c>
      <c r="E453" s="6" t="s">
        <v>2952</v>
      </c>
      <c r="F453" s="10" t="n">
        <v>294465</v>
      </c>
      <c r="G453" s="10" t="n">
        <v>2000000000</v>
      </c>
      <c r="H453" s="14" t="n">
        <v>0.87</v>
      </c>
      <c r="I453" s="9" t="s">
        <v>2953</v>
      </c>
      <c r="J453" s="9" t="s">
        <v>2954</v>
      </c>
      <c r="K453" s="9" t="s">
        <v>2645</v>
      </c>
      <c r="L453" s="9" t="s">
        <v>2942</v>
      </c>
    </row>
    <row r="454" customFormat="false" ht="15" hidden="false" customHeight="false" outlineLevel="0" collapsed="false">
      <c r="A454" s="6" t="s">
        <v>61</v>
      </c>
      <c r="B454" s="6" t="s">
        <v>2939</v>
      </c>
      <c r="C454" s="6" t="s">
        <v>2604</v>
      </c>
      <c r="D454" s="6" t="s">
        <v>2589</v>
      </c>
      <c r="E454" s="6" t="s">
        <v>2672</v>
      </c>
      <c r="F454" s="10" t="n">
        <v>332226</v>
      </c>
      <c r="G454" s="10" t="n">
        <v>2000000000</v>
      </c>
      <c r="H454" s="14" t="n">
        <v>0.98</v>
      </c>
      <c r="I454" s="9" t="s">
        <v>2955</v>
      </c>
      <c r="J454" s="9" t="s">
        <v>1985</v>
      </c>
      <c r="K454" s="9" t="s">
        <v>2645</v>
      </c>
      <c r="L454" s="9" t="s">
        <v>2942</v>
      </c>
    </row>
    <row r="455" customFormat="false" ht="15" hidden="false" customHeight="false" outlineLevel="0" collapsed="false">
      <c r="A455" s="6" t="s">
        <v>61</v>
      </c>
      <c r="B455" s="6" t="s">
        <v>2939</v>
      </c>
      <c r="C455" s="6" t="s">
        <v>2604</v>
      </c>
      <c r="D455" s="6" t="s">
        <v>2589</v>
      </c>
      <c r="E455" s="6" t="s">
        <v>2952</v>
      </c>
      <c r="F455" s="10" t="n">
        <v>733138</v>
      </c>
      <c r="G455" s="10" t="n">
        <v>5000000000</v>
      </c>
      <c r="H455" s="14" t="n">
        <v>2.16</v>
      </c>
      <c r="I455" s="9" t="s">
        <v>2956</v>
      </c>
      <c r="J455" s="9" t="s">
        <v>2957</v>
      </c>
      <c r="K455" s="9" t="s">
        <v>2645</v>
      </c>
      <c r="L455" s="9" t="s">
        <v>2942</v>
      </c>
    </row>
    <row r="456" customFormat="false" ht="15" hidden="false" customHeight="false" outlineLevel="0" collapsed="false">
      <c r="A456" s="6" t="s">
        <v>61</v>
      </c>
      <c r="B456" s="6" t="s">
        <v>2939</v>
      </c>
      <c r="C456" s="6" t="s">
        <v>2604</v>
      </c>
      <c r="D456" s="6" t="s">
        <v>2937</v>
      </c>
      <c r="E456" s="6" t="s">
        <v>2958</v>
      </c>
      <c r="F456" s="10" t="n">
        <v>769138</v>
      </c>
      <c r="G456" s="10"/>
      <c r="H456" s="14" t="n">
        <v>2.27</v>
      </c>
      <c r="I456" s="9" t="s">
        <v>2959</v>
      </c>
      <c r="J456" s="9" t="s">
        <v>2960</v>
      </c>
      <c r="K456" s="6"/>
      <c r="L456" s="9" t="s">
        <v>2942</v>
      </c>
    </row>
    <row r="457" customFormat="false" ht="15" hidden="false" customHeight="false" outlineLevel="0" collapsed="false">
      <c r="A457" s="6" t="s">
        <v>61</v>
      </c>
      <c r="B457" s="6" t="s">
        <v>2939</v>
      </c>
      <c r="C457" s="6" t="s">
        <v>2604</v>
      </c>
      <c r="D457" s="6" t="s">
        <v>2937</v>
      </c>
      <c r="E457" s="6" t="s">
        <v>2677</v>
      </c>
      <c r="F457" s="10" t="n">
        <v>2665121</v>
      </c>
      <c r="G457" s="10"/>
      <c r="H457" s="14" t="n">
        <v>7.85</v>
      </c>
      <c r="I457" s="9" t="s">
        <v>2553</v>
      </c>
      <c r="J457" s="9" t="s">
        <v>2094</v>
      </c>
      <c r="K457" s="6"/>
      <c r="L457" s="9" t="s">
        <v>2942</v>
      </c>
    </row>
    <row r="458" customFormat="false" ht="15" hidden="false" customHeight="false" outlineLevel="0" collapsed="false">
      <c r="A458" s="6" t="s">
        <v>335</v>
      </c>
      <c r="B458" s="6" t="s">
        <v>2961</v>
      </c>
      <c r="C458" s="6" t="s">
        <v>2594</v>
      </c>
      <c r="D458" s="6" t="s">
        <v>2625</v>
      </c>
      <c r="E458" s="6" t="s">
        <v>2665</v>
      </c>
      <c r="F458" s="10" t="n">
        <v>59800</v>
      </c>
      <c r="G458" s="10" t="n">
        <v>1300000000</v>
      </c>
      <c r="H458" s="14" t="n">
        <v>0.31</v>
      </c>
      <c r="I458" s="9" t="s">
        <v>2871</v>
      </c>
      <c r="J458" s="6"/>
      <c r="K458" s="6" t="s">
        <v>2961</v>
      </c>
      <c r="L458" s="9" t="s">
        <v>2064</v>
      </c>
    </row>
    <row r="459" customFormat="false" ht="15" hidden="false" customHeight="false" outlineLevel="0" collapsed="false">
      <c r="A459" s="6" t="s">
        <v>335</v>
      </c>
      <c r="B459" s="6" t="s">
        <v>2961</v>
      </c>
      <c r="C459" s="6" t="s">
        <v>2594</v>
      </c>
      <c r="D459" s="6" t="s">
        <v>2776</v>
      </c>
      <c r="E459" s="6" t="s">
        <v>2962</v>
      </c>
      <c r="F459" s="10" t="n">
        <v>100000</v>
      </c>
      <c r="G459" s="10"/>
      <c r="H459" s="14" t="n">
        <v>0.52</v>
      </c>
      <c r="I459" s="9" t="s">
        <v>2963</v>
      </c>
      <c r="J459" s="6"/>
      <c r="K459" s="6"/>
      <c r="L459" s="9" t="s">
        <v>2064</v>
      </c>
    </row>
    <row r="460" customFormat="false" ht="15" hidden="false" customHeight="false" outlineLevel="0" collapsed="false">
      <c r="A460" s="6" t="s">
        <v>335</v>
      </c>
      <c r="B460" s="6" t="s">
        <v>2961</v>
      </c>
      <c r="C460" s="6" t="s">
        <v>2594</v>
      </c>
      <c r="D460" s="6" t="s">
        <v>2776</v>
      </c>
      <c r="E460" s="6" t="s">
        <v>2962</v>
      </c>
      <c r="F460" s="10" t="n">
        <v>100000</v>
      </c>
      <c r="G460" s="10"/>
      <c r="H460" s="14" t="n">
        <v>0.52</v>
      </c>
      <c r="I460" s="9" t="s">
        <v>2964</v>
      </c>
      <c r="J460" s="6"/>
      <c r="K460" s="6"/>
      <c r="L460" s="9" t="s">
        <v>2064</v>
      </c>
    </row>
    <row r="461" customFormat="false" ht="15" hidden="false" customHeight="false" outlineLevel="0" collapsed="false">
      <c r="A461" s="6" t="s">
        <v>380</v>
      </c>
      <c r="B461" s="6" t="s">
        <v>2965</v>
      </c>
      <c r="C461" s="6" t="s">
        <v>2604</v>
      </c>
      <c r="D461" s="6" t="s">
        <v>2589</v>
      </c>
      <c r="E461" s="6" t="s">
        <v>2665</v>
      </c>
      <c r="F461" s="10" t="n">
        <v>670000</v>
      </c>
      <c r="G461" s="10" t="n">
        <v>4500000000</v>
      </c>
      <c r="H461" s="14" t="n">
        <v>1.79</v>
      </c>
      <c r="I461" s="9" t="s">
        <v>2966</v>
      </c>
      <c r="J461" s="9" t="s">
        <v>1839</v>
      </c>
      <c r="K461" s="6" t="s">
        <v>2965</v>
      </c>
      <c r="L461" s="9" t="s">
        <v>1950</v>
      </c>
    </row>
    <row r="462" customFormat="false" ht="15" hidden="false" customHeight="false" outlineLevel="0" collapsed="false">
      <c r="A462" s="6" t="s">
        <v>380</v>
      </c>
      <c r="B462" s="9" t="s">
        <v>2967</v>
      </c>
      <c r="C462" s="6" t="s">
        <v>2594</v>
      </c>
      <c r="D462" s="6" t="s">
        <v>22</v>
      </c>
      <c r="E462" s="6" t="s">
        <v>2672</v>
      </c>
      <c r="F462" s="10" t="n">
        <v>330000</v>
      </c>
      <c r="G462" s="10" t="n">
        <v>5000000000</v>
      </c>
      <c r="H462" s="14" t="n">
        <v>0.88</v>
      </c>
      <c r="I462" s="9" t="s">
        <v>2968</v>
      </c>
      <c r="J462" s="9" t="s">
        <v>2745</v>
      </c>
      <c r="K462" s="9" t="s">
        <v>2967</v>
      </c>
      <c r="L462" s="9" t="s">
        <v>1950</v>
      </c>
    </row>
    <row r="463" customFormat="false" ht="15" hidden="false" customHeight="false" outlineLevel="0" collapsed="false">
      <c r="A463" s="6" t="s">
        <v>380</v>
      </c>
      <c r="B463" s="9" t="s">
        <v>2967</v>
      </c>
      <c r="C463" s="6" t="s">
        <v>2594</v>
      </c>
      <c r="D463" s="6" t="s">
        <v>22</v>
      </c>
      <c r="E463" s="6" t="s">
        <v>2854</v>
      </c>
      <c r="F463" s="10" t="n">
        <v>280000</v>
      </c>
      <c r="G463" s="10" t="n">
        <v>6000000000</v>
      </c>
      <c r="H463" s="14" t="n">
        <v>0.75</v>
      </c>
      <c r="I463" s="9" t="s">
        <v>2313</v>
      </c>
      <c r="J463" s="9" t="s">
        <v>2969</v>
      </c>
      <c r="K463" s="9" t="s">
        <v>2967</v>
      </c>
      <c r="L463" s="9" t="s">
        <v>1950</v>
      </c>
    </row>
    <row r="464" customFormat="false" ht="15" hidden="false" customHeight="false" outlineLevel="0" collapsed="false">
      <c r="A464" s="6" t="s">
        <v>380</v>
      </c>
      <c r="B464" s="9" t="s">
        <v>2967</v>
      </c>
      <c r="C464" s="6" t="s">
        <v>2594</v>
      </c>
      <c r="D464" s="6" t="s">
        <v>22</v>
      </c>
      <c r="E464" s="9" t="s">
        <v>2684</v>
      </c>
      <c r="F464" s="10" t="n">
        <v>98363</v>
      </c>
      <c r="G464" s="10" t="n">
        <v>2000000000</v>
      </c>
      <c r="H464" s="14" t="n">
        <v>0.26</v>
      </c>
      <c r="I464" s="9" t="s">
        <v>2794</v>
      </c>
      <c r="J464" s="9" t="s">
        <v>2970</v>
      </c>
      <c r="K464" s="9" t="s">
        <v>2967</v>
      </c>
      <c r="L464" s="9" t="s">
        <v>1950</v>
      </c>
    </row>
    <row r="465" customFormat="false" ht="15" hidden="false" customHeight="false" outlineLevel="0" collapsed="false">
      <c r="A465" s="6" t="s">
        <v>380</v>
      </c>
      <c r="B465" s="9" t="s">
        <v>2967</v>
      </c>
      <c r="C465" s="6" t="s">
        <v>2594</v>
      </c>
      <c r="D465" s="6" t="s">
        <v>22</v>
      </c>
      <c r="E465" s="6" t="s">
        <v>2750</v>
      </c>
      <c r="F465" s="10" t="n">
        <v>63898</v>
      </c>
      <c r="G465" s="10" t="n">
        <v>1000000000</v>
      </c>
      <c r="H465" s="14" t="n">
        <v>0.17</v>
      </c>
      <c r="I465" s="9" t="s">
        <v>2971</v>
      </c>
      <c r="J465" s="9" t="s">
        <v>2104</v>
      </c>
      <c r="K465" s="9" t="s">
        <v>2967</v>
      </c>
      <c r="L465" s="9" t="s">
        <v>1950</v>
      </c>
    </row>
    <row r="466" customFormat="false" ht="15" hidden="false" customHeight="false" outlineLevel="0" collapsed="false">
      <c r="A466" s="6" t="s">
        <v>380</v>
      </c>
      <c r="B466" s="9" t="s">
        <v>2967</v>
      </c>
      <c r="C466" s="6" t="s">
        <v>2594</v>
      </c>
      <c r="D466" s="6" t="s">
        <v>22</v>
      </c>
      <c r="E466" s="9" t="s">
        <v>2878</v>
      </c>
      <c r="F466" s="10" t="n">
        <v>324686</v>
      </c>
      <c r="G466" s="10" t="n">
        <v>6000000000</v>
      </c>
      <c r="H466" s="14" t="n">
        <v>0.87</v>
      </c>
      <c r="I466" s="9" t="s">
        <v>2313</v>
      </c>
      <c r="J466" s="9" t="s">
        <v>2308</v>
      </c>
      <c r="K466" s="9" t="s">
        <v>2967</v>
      </c>
      <c r="L466" s="9" t="s">
        <v>1950</v>
      </c>
    </row>
    <row r="467" customFormat="false" ht="15" hidden="false" customHeight="false" outlineLevel="0" collapsed="false">
      <c r="A467" s="6" t="s">
        <v>380</v>
      </c>
      <c r="B467" s="9" t="s">
        <v>2967</v>
      </c>
      <c r="C467" s="6" t="s">
        <v>2594</v>
      </c>
      <c r="D467" s="6" t="s">
        <v>22</v>
      </c>
      <c r="E467" s="6" t="s">
        <v>2972</v>
      </c>
      <c r="F467" s="10" t="n">
        <v>193402</v>
      </c>
      <c r="G467" s="10" t="n">
        <v>3000000000</v>
      </c>
      <c r="H467" s="14" t="n">
        <v>0.52</v>
      </c>
      <c r="I467" s="9" t="s">
        <v>2313</v>
      </c>
      <c r="J467" s="9" t="s">
        <v>2969</v>
      </c>
      <c r="K467" s="9" t="s">
        <v>2967</v>
      </c>
      <c r="L467" s="9" t="s">
        <v>1950</v>
      </c>
    </row>
    <row r="468" customFormat="false" ht="15" hidden="false" customHeight="false" outlineLevel="0" collapsed="false">
      <c r="A468" s="6" t="s">
        <v>380</v>
      </c>
      <c r="B468" s="9" t="s">
        <v>2973</v>
      </c>
      <c r="C468" s="6" t="s">
        <v>2594</v>
      </c>
      <c r="D468" s="6" t="s">
        <v>2625</v>
      </c>
      <c r="E468" s="6" t="s">
        <v>2854</v>
      </c>
      <c r="F468" s="10" t="n">
        <v>364982</v>
      </c>
      <c r="G468" s="10" t="n">
        <v>6000000000</v>
      </c>
      <c r="H468" s="14" t="n">
        <v>0.98</v>
      </c>
      <c r="I468" s="9" t="s">
        <v>2974</v>
      </c>
      <c r="J468" s="9" t="s">
        <v>2975</v>
      </c>
      <c r="K468" s="9" t="s">
        <v>2973</v>
      </c>
      <c r="L468" s="9" t="s">
        <v>1950</v>
      </c>
    </row>
    <row r="469" customFormat="false" ht="15" hidden="false" customHeight="false" outlineLevel="0" collapsed="false">
      <c r="A469" s="6" t="s">
        <v>380</v>
      </c>
      <c r="B469" s="9" t="s">
        <v>2973</v>
      </c>
      <c r="C469" s="6" t="s">
        <v>2594</v>
      </c>
      <c r="D469" s="6" t="s">
        <v>2625</v>
      </c>
      <c r="E469" s="6" t="s">
        <v>2672</v>
      </c>
      <c r="F469" s="10" t="n">
        <v>330000</v>
      </c>
      <c r="G469" s="10" t="n">
        <v>5000000000</v>
      </c>
      <c r="H469" s="14" t="n">
        <v>0.88</v>
      </c>
      <c r="I469" s="9" t="s">
        <v>2976</v>
      </c>
      <c r="J469" s="9" t="s">
        <v>2653</v>
      </c>
      <c r="K469" s="9" t="s">
        <v>2973</v>
      </c>
      <c r="L469" s="9" t="s">
        <v>1950</v>
      </c>
    </row>
    <row r="470" customFormat="false" ht="15" hidden="false" customHeight="false" outlineLevel="0" collapsed="false">
      <c r="A470" s="6" t="s">
        <v>380</v>
      </c>
      <c r="B470" s="9" t="s">
        <v>2973</v>
      </c>
      <c r="C470" s="6" t="s">
        <v>2594</v>
      </c>
      <c r="D470" s="6" t="s">
        <v>2625</v>
      </c>
      <c r="E470" s="9" t="s">
        <v>2878</v>
      </c>
      <c r="F470" s="10" t="n">
        <v>393384</v>
      </c>
      <c r="G470" s="10" t="n">
        <v>6500000000</v>
      </c>
      <c r="H470" s="14" t="n">
        <v>1.05</v>
      </c>
      <c r="I470" s="9" t="s">
        <v>2977</v>
      </c>
      <c r="J470" s="9" t="s">
        <v>2207</v>
      </c>
      <c r="K470" s="9" t="s">
        <v>2973</v>
      </c>
      <c r="L470" s="9" t="s">
        <v>1950</v>
      </c>
    </row>
    <row r="471" customFormat="false" ht="15" hidden="false" customHeight="false" outlineLevel="0" collapsed="false">
      <c r="A471" s="6" t="s">
        <v>380</v>
      </c>
      <c r="B471" s="9" t="s">
        <v>2973</v>
      </c>
      <c r="C471" s="6" t="s">
        <v>2594</v>
      </c>
      <c r="D471" s="6" t="s">
        <v>2625</v>
      </c>
      <c r="E471" s="9" t="s">
        <v>2978</v>
      </c>
      <c r="F471" s="10" t="n">
        <v>125576</v>
      </c>
      <c r="G471" s="10" t="n">
        <v>2000000000</v>
      </c>
      <c r="H471" s="14" t="n">
        <v>0.34</v>
      </c>
      <c r="I471" s="9" t="s">
        <v>2979</v>
      </c>
      <c r="J471" s="9" t="s">
        <v>2311</v>
      </c>
      <c r="K471" s="9" t="s">
        <v>2973</v>
      </c>
      <c r="L471" s="9" t="s">
        <v>1950</v>
      </c>
    </row>
    <row r="472" customFormat="false" ht="15" hidden="false" customHeight="false" outlineLevel="0" collapsed="false">
      <c r="A472" s="6" t="s">
        <v>380</v>
      </c>
      <c r="B472" s="9" t="s">
        <v>2973</v>
      </c>
      <c r="C472" s="6" t="s">
        <v>2594</v>
      </c>
      <c r="D472" s="6" t="s">
        <v>2625</v>
      </c>
      <c r="E472" s="9" t="s">
        <v>2980</v>
      </c>
      <c r="F472" s="10" t="n">
        <v>53938</v>
      </c>
      <c r="G472" s="10" t="n">
        <v>2000000000</v>
      </c>
      <c r="H472" s="14" t="n">
        <v>0.14</v>
      </c>
      <c r="I472" s="9" t="s">
        <v>2981</v>
      </c>
      <c r="J472" s="9" t="s">
        <v>2975</v>
      </c>
      <c r="K472" s="9" t="s">
        <v>2973</v>
      </c>
      <c r="L472" s="9" t="s">
        <v>1950</v>
      </c>
    </row>
    <row r="473" customFormat="false" ht="15" hidden="false" customHeight="false" outlineLevel="0" collapsed="false">
      <c r="A473" s="6" t="s">
        <v>380</v>
      </c>
      <c r="B473" s="9" t="s">
        <v>2973</v>
      </c>
      <c r="C473" s="6" t="s">
        <v>2594</v>
      </c>
      <c r="D473" s="6" t="s">
        <v>2625</v>
      </c>
      <c r="E473" s="6" t="s">
        <v>2972</v>
      </c>
      <c r="F473" s="10" t="n">
        <v>124032</v>
      </c>
      <c r="G473" s="10" t="n">
        <v>2000000000</v>
      </c>
      <c r="H473" s="14" t="n">
        <v>0.33</v>
      </c>
      <c r="I473" s="9" t="s">
        <v>2444</v>
      </c>
      <c r="J473" s="9" t="s">
        <v>2982</v>
      </c>
      <c r="K473" s="9" t="s">
        <v>2973</v>
      </c>
      <c r="L473" s="9" t="s">
        <v>1950</v>
      </c>
    </row>
    <row r="474" customFormat="false" ht="15" hidden="false" customHeight="false" outlineLevel="0" collapsed="false">
      <c r="A474" s="6" t="s">
        <v>380</v>
      </c>
      <c r="B474" s="6" t="s">
        <v>2965</v>
      </c>
      <c r="C474" s="6" t="s">
        <v>2604</v>
      </c>
      <c r="D474" s="6" t="s">
        <v>2589</v>
      </c>
      <c r="E474" s="6" t="s">
        <v>2665</v>
      </c>
      <c r="F474" s="10" t="n">
        <v>670000</v>
      </c>
      <c r="G474" s="10" t="n">
        <v>4500000000</v>
      </c>
      <c r="H474" s="14" t="n">
        <v>1.81</v>
      </c>
      <c r="I474" s="9" t="s">
        <v>2966</v>
      </c>
      <c r="J474" s="9" t="s">
        <v>1839</v>
      </c>
      <c r="K474" s="6" t="s">
        <v>2965</v>
      </c>
      <c r="L474" s="9" t="s">
        <v>2983</v>
      </c>
    </row>
    <row r="475" customFormat="false" ht="15" hidden="false" customHeight="false" outlineLevel="0" collapsed="false">
      <c r="A475" s="6" t="s">
        <v>380</v>
      </c>
      <c r="B475" s="9" t="s">
        <v>2967</v>
      </c>
      <c r="C475" s="6" t="s">
        <v>2594</v>
      </c>
      <c r="D475" s="6" t="s">
        <v>22</v>
      </c>
      <c r="E475" s="6" t="s">
        <v>2672</v>
      </c>
      <c r="F475" s="10" t="n">
        <v>330000</v>
      </c>
      <c r="G475" s="10" t="n">
        <v>5000000000</v>
      </c>
      <c r="H475" s="14" t="n">
        <v>0.89</v>
      </c>
      <c r="I475" s="9" t="s">
        <v>2984</v>
      </c>
      <c r="J475" s="9" t="s">
        <v>2591</v>
      </c>
      <c r="K475" s="9" t="s">
        <v>2967</v>
      </c>
      <c r="L475" s="9" t="s">
        <v>2983</v>
      </c>
    </row>
    <row r="476" customFormat="false" ht="15" hidden="false" customHeight="false" outlineLevel="0" collapsed="false">
      <c r="A476" s="6" t="s">
        <v>380</v>
      </c>
      <c r="B476" s="9" t="s">
        <v>2967</v>
      </c>
      <c r="C476" s="6" t="s">
        <v>2594</v>
      </c>
      <c r="D476" s="6" t="s">
        <v>22</v>
      </c>
      <c r="E476" s="6" t="s">
        <v>2854</v>
      </c>
      <c r="F476" s="10" t="n">
        <v>280000</v>
      </c>
      <c r="G476" s="10" t="n">
        <v>6000000000</v>
      </c>
      <c r="H476" s="14" t="n">
        <v>0.76</v>
      </c>
      <c r="I476" s="9" t="s">
        <v>2969</v>
      </c>
      <c r="J476" s="9" t="s">
        <v>2985</v>
      </c>
      <c r="K476" s="9" t="s">
        <v>2967</v>
      </c>
      <c r="L476" s="9" t="s">
        <v>2983</v>
      </c>
    </row>
    <row r="477" customFormat="false" ht="15" hidden="false" customHeight="false" outlineLevel="0" collapsed="false">
      <c r="A477" s="6" t="s">
        <v>380</v>
      </c>
      <c r="B477" s="9" t="s">
        <v>2967</v>
      </c>
      <c r="C477" s="6" t="s">
        <v>2594</v>
      </c>
      <c r="D477" s="6" t="s">
        <v>22</v>
      </c>
      <c r="E477" s="9" t="s">
        <v>2684</v>
      </c>
      <c r="F477" s="10" t="n">
        <v>128805</v>
      </c>
      <c r="G477" s="10" t="n">
        <v>3000000000</v>
      </c>
      <c r="H477" s="14" t="n">
        <v>0.35</v>
      </c>
      <c r="I477" s="9" t="s">
        <v>2109</v>
      </c>
      <c r="J477" s="9" t="s">
        <v>2986</v>
      </c>
      <c r="K477" s="9" t="s">
        <v>2967</v>
      </c>
      <c r="L477" s="9" t="s">
        <v>2983</v>
      </c>
    </row>
    <row r="478" customFormat="false" ht="15" hidden="false" customHeight="false" outlineLevel="0" collapsed="false">
      <c r="A478" s="6" t="s">
        <v>380</v>
      </c>
      <c r="B478" s="9" t="s">
        <v>2967</v>
      </c>
      <c r="C478" s="6" t="s">
        <v>2594</v>
      </c>
      <c r="D478" s="6" t="s">
        <v>22</v>
      </c>
      <c r="E478" s="6" t="s">
        <v>2677</v>
      </c>
      <c r="F478" s="10" t="n">
        <v>434144</v>
      </c>
      <c r="G478" s="10" t="n">
        <v>11000000000</v>
      </c>
      <c r="H478" s="14" t="n">
        <v>1.17</v>
      </c>
      <c r="I478" s="9" t="s">
        <v>2158</v>
      </c>
      <c r="J478" s="9" t="s">
        <v>2694</v>
      </c>
      <c r="K478" s="9" t="s">
        <v>2967</v>
      </c>
      <c r="L478" s="9" t="s">
        <v>2983</v>
      </c>
    </row>
    <row r="479" customFormat="false" ht="15" hidden="false" customHeight="false" outlineLevel="0" collapsed="false">
      <c r="A479" s="6" t="s">
        <v>380</v>
      </c>
      <c r="B479" s="9" t="s">
        <v>2973</v>
      </c>
      <c r="C479" s="6" t="s">
        <v>2594</v>
      </c>
      <c r="D479" s="6" t="s">
        <v>2625</v>
      </c>
      <c r="E479" s="6" t="s">
        <v>2854</v>
      </c>
      <c r="F479" s="10" t="n">
        <v>364982</v>
      </c>
      <c r="G479" s="10" t="n">
        <v>6000000000</v>
      </c>
      <c r="H479" s="14" t="n">
        <v>0.99</v>
      </c>
      <c r="I479" s="9" t="s">
        <v>2974</v>
      </c>
      <c r="J479" s="9" t="s">
        <v>2653</v>
      </c>
      <c r="K479" s="9" t="s">
        <v>2973</v>
      </c>
      <c r="L479" s="9" t="s">
        <v>2983</v>
      </c>
    </row>
    <row r="480" customFormat="false" ht="15" hidden="false" customHeight="false" outlineLevel="0" collapsed="false">
      <c r="A480" s="6" t="s">
        <v>380</v>
      </c>
      <c r="B480" s="9" t="s">
        <v>2973</v>
      </c>
      <c r="C480" s="6" t="s">
        <v>2594</v>
      </c>
      <c r="D480" s="6" t="s">
        <v>2625</v>
      </c>
      <c r="E480" s="6" t="s">
        <v>2672</v>
      </c>
      <c r="F480" s="10" t="n">
        <v>330000</v>
      </c>
      <c r="G480" s="10" t="n">
        <v>5000000000</v>
      </c>
      <c r="H480" s="14" t="n">
        <v>0.89</v>
      </c>
      <c r="I480" s="9" t="s">
        <v>2976</v>
      </c>
      <c r="J480" s="9" t="s">
        <v>2653</v>
      </c>
      <c r="K480" s="9" t="s">
        <v>2973</v>
      </c>
      <c r="L480" s="9" t="s">
        <v>2983</v>
      </c>
    </row>
    <row r="481" customFormat="false" ht="15" hidden="false" customHeight="false" outlineLevel="0" collapsed="false">
      <c r="A481" s="6" t="s">
        <v>380</v>
      </c>
      <c r="B481" s="9" t="s">
        <v>2973</v>
      </c>
      <c r="C481" s="6" t="s">
        <v>2594</v>
      </c>
      <c r="D481" s="6" t="s">
        <v>2625</v>
      </c>
      <c r="E481" s="9" t="s">
        <v>2878</v>
      </c>
      <c r="F481" s="10" t="n">
        <v>393384</v>
      </c>
      <c r="G481" s="10" t="n">
        <v>6500000000</v>
      </c>
      <c r="H481" s="14" t="n">
        <v>1.06</v>
      </c>
      <c r="I481" s="9" t="s">
        <v>2977</v>
      </c>
      <c r="J481" s="9" t="s">
        <v>2986</v>
      </c>
      <c r="K481" s="9" t="s">
        <v>2973</v>
      </c>
      <c r="L481" s="9" t="s">
        <v>2983</v>
      </c>
    </row>
    <row r="482" customFormat="false" ht="15" hidden="false" customHeight="false" outlineLevel="0" collapsed="false">
      <c r="A482" s="6" t="s">
        <v>380</v>
      </c>
      <c r="B482" s="9" t="s">
        <v>2973</v>
      </c>
      <c r="C482" s="6" t="s">
        <v>2594</v>
      </c>
      <c r="D482" s="6" t="s">
        <v>2625</v>
      </c>
      <c r="E482" s="9" t="s">
        <v>2978</v>
      </c>
      <c r="F482" s="10" t="n">
        <v>125576</v>
      </c>
      <c r="G482" s="10" t="n">
        <v>2000000000</v>
      </c>
      <c r="H482" s="14" t="n">
        <v>0.34</v>
      </c>
      <c r="I482" s="9" t="s">
        <v>2979</v>
      </c>
      <c r="J482" s="9" t="s">
        <v>2863</v>
      </c>
      <c r="K482" s="9" t="s">
        <v>2973</v>
      </c>
      <c r="L482" s="9" t="s">
        <v>2983</v>
      </c>
    </row>
    <row r="483" customFormat="false" ht="15" hidden="false" customHeight="false" outlineLevel="0" collapsed="false">
      <c r="A483" s="6" t="s">
        <v>380</v>
      </c>
      <c r="B483" s="9" t="s">
        <v>2973</v>
      </c>
      <c r="C483" s="6" t="s">
        <v>2594</v>
      </c>
      <c r="D483" s="6" t="s">
        <v>2625</v>
      </c>
      <c r="E483" s="9" t="s">
        <v>2980</v>
      </c>
      <c r="F483" s="10" t="n">
        <v>53938</v>
      </c>
      <c r="G483" s="10" t="n">
        <v>2000000000</v>
      </c>
      <c r="H483" s="14" t="n">
        <v>0.15</v>
      </c>
      <c r="I483" s="9" t="s">
        <v>2981</v>
      </c>
      <c r="J483" s="9" t="s">
        <v>2418</v>
      </c>
      <c r="K483" s="9" t="s">
        <v>2973</v>
      </c>
      <c r="L483" s="9" t="s">
        <v>2983</v>
      </c>
    </row>
    <row r="484" customFormat="false" ht="15" hidden="false" customHeight="false" outlineLevel="0" collapsed="false">
      <c r="A484" s="6" t="s">
        <v>380</v>
      </c>
      <c r="B484" s="9" t="s">
        <v>2973</v>
      </c>
      <c r="C484" s="6" t="s">
        <v>2594</v>
      </c>
      <c r="D484" s="6" t="s">
        <v>2625</v>
      </c>
      <c r="E484" s="6" t="s">
        <v>2972</v>
      </c>
      <c r="F484" s="10" t="n">
        <v>124032</v>
      </c>
      <c r="G484" s="10" t="n">
        <v>2000000000</v>
      </c>
      <c r="H484" s="14" t="n">
        <v>0.33</v>
      </c>
      <c r="I484" s="9" t="s">
        <v>2444</v>
      </c>
      <c r="J484" s="9" t="s">
        <v>2987</v>
      </c>
      <c r="K484" s="9" t="s">
        <v>2973</v>
      </c>
      <c r="L484" s="9" t="s">
        <v>2983</v>
      </c>
    </row>
    <row r="485" customFormat="false" ht="15" hidden="false" customHeight="false" outlineLevel="0" collapsed="false">
      <c r="A485" s="6" t="s">
        <v>228</v>
      </c>
      <c r="B485" s="6" t="s">
        <v>2988</v>
      </c>
      <c r="C485" s="6" t="s">
        <v>2604</v>
      </c>
      <c r="D485" s="6" t="s">
        <v>2989</v>
      </c>
      <c r="E485" s="6" t="s">
        <v>2674</v>
      </c>
      <c r="F485" s="10" t="n">
        <v>40575</v>
      </c>
      <c r="G485" s="10" t="n">
        <v>4980922200</v>
      </c>
      <c r="H485" s="14" t="n">
        <v>0.03</v>
      </c>
      <c r="I485" s="9" t="s">
        <v>2990</v>
      </c>
      <c r="J485" s="6"/>
      <c r="K485" s="9" t="s">
        <v>2645</v>
      </c>
      <c r="L485" s="9" t="s">
        <v>1850</v>
      </c>
    </row>
    <row r="486" customFormat="false" ht="15" hidden="false" customHeight="false" outlineLevel="0" collapsed="false">
      <c r="A486" s="6" t="s">
        <v>228</v>
      </c>
      <c r="B486" s="6" t="s">
        <v>2988</v>
      </c>
      <c r="C486" s="6" t="s">
        <v>2604</v>
      </c>
      <c r="D486" s="6" t="s">
        <v>2989</v>
      </c>
      <c r="E486" s="6" t="s">
        <v>2674</v>
      </c>
      <c r="F486" s="10" t="n">
        <v>8305</v>
      </c>
      <c r="G486" s="10" t="n">
        <v>1019070000</v>
      </c>
      <c r="H486" s="14" t="n">
        <v>0.01</v>
      </c>
      <c r="I486" s="9" t="s">
        <v>2991</v>
      </c>
      <c r="J486" s="6"/>
      <c r="K486" s="9" t="s">
        <v>2645</v>
      </c>
      <c r="L486" s="9" t="s">
        <v>1850</v>
      </c>
    </row>
    <row r="487" customFormat="false" ht="15" hidden="false" customHeight="false" outlineLevel="0" collapsed="false">
      <c r="A487" s="6" t="s">
        <v>228</v>
      </c>
      <c r="B487" s="6" t="s">
        <v>2988</v>
      </c>
      <c r="C487" s="6" t="s">
        <v>2604</v>
      </c>
      <c r="D487" s="6" t="s">
        <v>2989</v>
      </c>
      <c r="E487" s="6" t="s">
        <v>2674</v>
      </c>
      <c r="F487" s="10" t="n">
        <v>41322</v>
      </c>
      <c r="G487" s="10" t="n">
        <v>1000000000</v>
      </c>
      <c r="H487" s="14" t="n">
        <v>0.03</v>
      </c>
      <c r="I487" s="9" t="s">
        <v>2992</v>
      </c>
      <c r="J487" s="6"/>
      <c r="K487" s="9" t="s">
        <v>2645</v>
      </c>
      <c r="L487" s="9" t="s">
        <v>1850</v>
      </c>
    </row>
    <row r="488" customFormat="false" ht="15" hidden="false" customHeight="false" outlineLevel="0" collapsed="false">
      <c r="A488" s="6" t="s">
        <v>228</v>
      </c>
      <c r="B488" s="6" t="s">
        <v>2988</v>
      </c>
      <c r="C488" s="6" t="s">
        <v>2604</v>
      </c>
      <c r="D488" s="6" t="s">
        <v>2989</v>
      </c>
      <c r="E488" s="6" t="s">
        <v>2665</v>
      </c>
      <c r="F488" s="10" t="n">
        <v>744890</v>
      </c>
      <c r="G488" s="10" t="n">
        <v>5000000000</v>
      </c>
      <c r="H488" s="14" t="n">
        <v>0.55</v>
      </c>
      <c r="I488" s="9" t="s">
        <v>2993</v>
      </c>
      <c r="J488" s="6"/>
      <c r="K488" s="9" t="s">
        <v>2645</v>
      </c>
      <c r="L488" s="9" t="s">
        <v>1850</v>
      </c>
    </row>
    <row r="489" customFormat="false" ht="15" hidden="false" customHeight="false" outlineLevel="0" collapsed="false">
      <c r="A489" s="6" t="s">
        <v>228</v>
      </c>
      <c r="B489" s="6" t="s">
        <v>2988</v>
      </c>
      <c r="C489" s="6" t="s">
        <v>2604</v>
      </c>
      <c r="D489" s="6" t="s">
        <v>2989</v>
      </c>
      <c r="E489" s="6" t="s">
        <v>2672</v>
      </c>
      <c r="F489" s="10" t="n">
        <v>524110</v>
      </c>
      <c r="G489" s="10" t="n">
        <v>10000000000</v>
      </c>
      <c r="H489" s="14" t="n">
        <v>0.39</v>
      </c>
      <c r="I489" s="9" t="s">
        <v>2951</v>
      </c>
      <c r="J489" s="6"/>
      <c r="K489" s="9" t="s">
        <v>2645</v>
      </c>
      <c r="L489" s="9" t="s">
        <v>1850</v>
      </c>
    </row>
    <row r="490" customFormat="false" ht="15" hidden="false" customHeight="false" outlineLevel="0" collapsed="false">
      <c r="A490" s="6" t="s">
        <v>228</v>
      </c>
      <c r="B490" s="6" t="s">
        <v>2988</v>
      </c>
      <c r="C490" s="6" t="s">
        <v>2604</v>
      </c>
      <c r="D490" s="6" t="s">
        <v>2989</v>
      </c>
      <c r="E490" s="6" t="s">
        <v>2672</v>
      </c>
      <c r="F490" s="10" t="n">
        <v>52409</v>
      </c>
      <c r="G490" s="10" t="n">
        <v>1000000000</v>
      </c>
      <c r="H490" s="14" t="n">
        <v>0.04</v>
      </c>
      <c r="I490" s="9" t="s">
        <v>2994</v>
      </c>
      <c r="J490" s="6"/>
      <c r="K490" s="9" t="s">
        <v>2645</v>
      </c>
      <c r="L490" s="9" t="s">
        <v>1850</v>
      </c>
    </row>
    <row r="491" customFormat="false" ht="15" hidden="false" customHeight="false" outlineLevel="0" collapsed="false">
      <c r="A491" s="6" t="s">
        <v>228</v>
      </c>
      <c r="B491" s="6" t="s">
        <v>2988</v>
      </c>
      <c r="C491" s="6" t="s">
        <v>2604</v>
      </c>
      <c r="D491" s="6" t="s">
        <v>2989</v>
      </c>
      <c r="E491" s="6" t="s">
        <v>2672</v>
      </c>
      <c r="F491" s="10" t="n">
        <v>524110</v>
      </c>
      <c r="G491" s="10" t="n">
        <v>10000000000</v>
      </c>
      <c r="H491" s="14" t="n">
        <v>0.39</v>
      </c>
      <c r="I491" s="9" t="s">
        <v>2995</v>
      </c>
      <c r="J491" s="6"/>
      <c r="K491" s="9" t="s">
        <v>2645</v>
      </c>
      <c r="L491" s="9" t="s">
        <v>1850</v>
      </c>
    </row>
    <row r="492" customFormat="false" ht="15" hidden="false" customHeight="false" outlineLevel="0" collapsed="false">
      <c r="A492" s="6" t="s">
        <v>228</v>
      </c>
      <c r="B492" s="6" t="s">
        <v>2988</v>
      </c>
      <c r="C492" s="6" t="s">
        <v>2604</v>
      </c>
      <c r="D492" s="6" t="s">
        <v>2989</v>
      </c>
      <c r="E492" s="6" t="s">
        <v>2750</v>
      </c>
      <c r="F492" s="10" t="n">
        <v>53851</v>
      </c>
      <c r="G492" s="10" t="n">
        <v>2000000000</v>
      </c>
      <c r="H492" s="14" t="n">
        <v>0.04</v>
      </c>
      <c r="I492" s="9" t="s">
        <v>2995</v>
      </c>
      <c r="J492" s="6"/>
      <c r="K492" s="9" t="s">
        <v>2645</v>
      </c>
      <c r="L492" s="9" t="s">
        <v>1850</v>
      </c>
    </row>
    <row r="493" customFormat="false" ht="15" hidden="false" customHeight="false" outlineLevel="0" collapsed="false">
      <c r="A493" s="6" t="s">
        <v>228</v>
      </c>
      <c r="B493" s="6" t="s">
        <v>2988</v>
      </c>
      <c r="C493" s="6" t="s">
        <v>2604</v>
      </c>
      <c r="D493" s="6" t="s">
        <v>2989</v>
      </c>
      <c r="E493" s="6" t="s">
        <v>2677</v>
      </c>
      <c r="F493" s="10" t="n">
        <v>93458</v>
      </c>
      <c r="G493" s="10" t="n">
        <v>2000000000</v>
      </c>
      <c r="H493" s="14" t="n">
        <v>0.07</v>
      </c>
      <c r="I493" s="9" t="s">
        <v>2996</v>
      </c>
      <c r="J493" s="6"/>
      <c r="K493" s="9" t="s">
        <v>2645</v>
      </c>
      <c r="L493" s="9" t="s">
        <v>1850</v>
      </c>
    </row>
    <row r="494" customFormat="false" ht="15" hidden="false" customHeight="false" outlineLevel="0" collapsed="false">
      <c r="A494" s="6" t="s">
        <v>228</v>
      </c>
      <c r="B494" s="6" t="s">
        <v>2988</v>
      </c>
      <c r="C494" s="6" t="s">
        <v>2604</v>
      </c>
      <c r="D494" s="6" t="s">
        <v>2989</v>
      </c>
      <c r="E494" s="9" t="s">
        <v>2997</v>
      </c>
      <c r="F494" s="10" t="n">
        <v>202842</v>
      </c>
      <c r="G494" s="10" t="n">
        <v>7140019400</v>
      </c>
      <c r="H494" s="14" t="n">
        <v>0.15</v>
      </c>
      <c r="I494" s="9" t="s">
        <v>2567</v>
      </c>
      <c r="J494" s="6"/>
      <c r="K494" s="9" t="s">
        <v>2645</v>
      </c>
      <c r="L494" s="9" t="s">
        <v>1850</v>
      </c>
    </row>
    <row r="495" customFormat="false" ht="15" hidden="false" customHeight="false" outlineLevel="0" collapsed="false">
      <c r="A495" s="6" t="s">
        <v>228</v>
      </c>
      <c r="B495" s="6" t="s">
        <v>2998</v>
      </c>
      <c r="C495" s="6" t="s">
        <v>2594</v>
      </c>
      <c r="D495" s="6" t="s">
        <v>2989</v>
      </c>
      <c r="E495" s="6" t="s">
        <v>2665</v>
      </c>
      <c r="F495" s="10" t="n">
        <v>89621</v>
      </c>
      <c r="G495" s="10" t="n">
        <v>5500000000</v>
      </c>
      <c r="H495" s="14" t="n">
        <v>0.07</v>
      </c>
      <c r="I495" s="9" t="s">
        <v>2999</v>
      </c>
      <c r="J495" s="6"/>
      <c r="K495" s="9" t="s">
        <v>2645</v>
      </c>
      <c r="L495" s="9" t="s">
        <v>1850</v>
      </c>
    </row>
    <row r="496" customFormat="false" ht="15" hidden="false" customHeight="false" outlineLevel="0" collapsed="false">
      <c r="A496" s="6" t="s">
        <v>228</v>
      </c>
      <c r="B496" s="6" t="s">
        <v>2998</v>
      </c>
      <c r="C496" s="6" t="s">
        <v>2594</v>
      </c>
      <c r="D496" s="6" t="s">
        <v>2989</v>
      </c>
      <c r="E496" s="6" t="s">
        <v>2665</v>
      </c>
      <c r="F496" s="10" t="n">
        <v>32589</v>
      </c>
      <c r="G496" s="10" t="n">
        <v>2000000000</v>
      </c>
      <c r="H496" s="14" t="n">
        <v>0.02</v>
      </c>
      <c r="I496" s="9" t="s">
        <v>3000</v>
      </c>
      <c r="J496" s="6"/>
      <c r="K496" s="9" t="s">
        <v>2645</v>
      </c>
      <c r="L496" s="9" t="s">
        <v>1850</v>
      </c>
    </row>
    <row r="497" customFormat="false" ht="15" hidden="false" customHeight="false" outlineLevel="0" collapsed="false">
      <c r="A497" s="6" t="s">
        <v>228</v>
      </c>
      <c r="B497" s="6" t="s">
        <v>2998</v>
      </c>
      <c r="C497" s="6" t="s">
        <v>2594</v>
      </c>
      <c r="D497" s="6" t="s">
        <v>2989</v>
      </c>
      <c r="E497" s="6" t="s">
        <v>2665</v>
      </c>
      <c r="F497" s="10" t="n">
        <v>65180</v>
      </c>
      <c r="G497" s="10" t="n">
        <v>4000000000</v>
      </c>
      <c r="H497" s="14" t="n">
        <v>0.05</v>
      </c>
      <c r="I497" s="9" t="s">
        <v>3001</v>
      </c>
      <c r="J497" s="6"/>
      <c r="K497" s="9" t="s">
        <v>2645</v>
      </c>
      <c r="L497" s="9" t="s">
        <v>1850</v>
      </c>
    </row>
    <row r="498" customFormat="false" ht="15" hidden="false" customHeight="false" outlineLevel="0" collapsed="false">
      <c r="A498" s="6" t="s">
        <v>228</v>
      </c>
      <c r="B498" s="6" t="s">
        <v>2998</v>
      </c>
      <c r="C498" s="6" t="s">
        <v>2594</v>
      </c>
      <c r="D498" s="6" t="s">
        <v>2989</v>
      </c>
      <c r="E498" s="6" t="s">
        <v>2672</v>
      </c>
      <c r="F498" s="10" t="n">
        <v>7669</v>
      </c>
      <c r="G498" s="10" t="n">
        <v>500000000</v>
      </c>
      <c r="H498" s="14" t="n">
        <v>0.01</v>
      </c>
      <c r="I498" s="9" t="s">
        <v>2492</v>
      </c>
      <c r="J498" s="6"/>
      <c r="K498" s="9" t="s">
        <v>2645</v>
      </c>
      <c r="L498" s="9" t="s">
        <v>1850</v>
      </c>
    </row>
    <row r="499" customFormat="false" ht="15" hidden="false" customHeight="false" outlineLevel="0" collapsed="false">
      <c r="A499" s="6" t="s">
        <v>228</v>
      </c>
      <c r="B499" s="6" t="s">
        <v>3002</v>
      </c>
      <c r="C499" s="6" t="s">
        <v>2594</v>
      </c>
      <c r="D499" s="6" t="s">
        <v>2989</v>
      </c>
      <c r="E499" s="6" t="s">
        <v>2665</v>
      </c>
      <c r="F499" s="10" t="n">
        <v>78387</v>
      </c>
      <c r="G499" s="10" t="n">
        <v>4000000000</v>
      </c>
      <c r="H499" s="14" t="n">
        <v>0.06</v>
      </c>
      <c r="I499" s="9" t="s">
        <v>3003</v>
      </c>
      <c r="J499" s="6"/>
      <c r="K499" s="9" t="s">
        <v>2645</v>
      </c>
      <c r="L499" s="9" t="s">
        <v>1850</v>
      </c>
    </row>
    <row r="500" customFormat="false" ht="15" hidden="false" customHeight="false" outlineLevel="0" collapsed="false">
      <c r="A500" s="6" t="s">
        <v>228</v>
      </c>
      <c r="B500" s="6" t="s">
        <v>3002</v>
      </c>
      <c r="C500" s="6" t="s">
        <v>2594</v>
      </c>
      <c r="D500" s="6" t="s">
        <v>2989</v>
      </c>
      <c r="E500" s="6" t="s">
        <v>2665</v>
      </c>
      <c r="F500" s="10" t="n">
        <v>58789</v>
      </c>
      <c r="G500" s="10" t="n">
        <v>3000000000</v>
      </c>
      <c r="H500" s="14" t="n">
        <v>0.04</v>
      </c>
      <c r="I500" s="9" t="s">
        <v>2999</v>
      </c>
      <c r="J500" s="6"/>
      <c r="K500" s="9" t="s">
        <v>2645</v>
      </c>
      <c r="L500" s="9" t="s">
        <v>1850</v>
      </c>
    </row>
    <row r="501" customFormat="false" ht="15" hidden="false" customHeight="false" outlineLevel="0" collapsed="false">
      <c r="A501" s="6" t="s">
        <v>228</v>
      </c>
      <c r="B501" s="6" t="s">
        <v>3002</v>
      </c>
      <c r="C501" s="6" t="s">
        <v>2594</v>
      </c>
      <c r="D501" s="6" t="s">
        <v>2989</v>
      </c>
      <c r="E501" s="6" t="s">
        <v>2672</v>
      </c>
      <c r="F501" s="10" t="n">
        <v>3950</v>
      </c>
      <c r="G501" s="10" t="n">
        <v>300000000</v>
      </c>
      <c r="H501" s="14" t="n">
        <v>0</v>
      </c>
      <c r="I501" s="9" t="s">
        <v>2613</v>
      </c>
      <c r="J501" s="6"/>
      <c r="K501" s="9" t="s">
        <v>2645</v>
      </c>
      <c r="L501" s="9" t="s">
        <v>1850</v>
      </c>
    </row>
    <row r="502" customFormat="false" ht="15" hidden="false" customHeight="false" outlineLevel="0" collapsed="false">
      <c r="A502" s="6" t="s">
        <v>228</v>
      </c>
      <c r="B502" s="6" t="s">
        <v>3002</v>
      </c>
      <c r="C502" s="6" t="s">
        <v>2594</v>
      </c>
      <c r="D502" s="6" t="s">
        <v>2989</v>
      </c>
      <c r="E502" s="6" t="s">
        <v>2672</v>
      </c>
      <c r="F502" s="10" t="n">
        <v>2571</v>
      </c>
      <c r="G502" s="10" t="n">
        <v>200000000</v>
      </c>
      <c r="H502" s="14" t="n">
        <v>0</v>
      </c>
      <c r="I502" s="9" t="s">
        <v>2859</v>
      </c>
      <c r="J502" s="6"/>
      <c r="K502" s="9" t="s">
        <v>2645</v>
      </c>
      <c r="L502" s="9" t="s">
        <v>1850</v>
      </c>
    </row>
    <row r="503" customFormat="false" ht="15" hidden="false" customHeight="false" outlineLevel="0" collapsed="false">
      <c r="A503" s="6" t="s">
        <v>228</v>
      </c>
      <c r="B503" s="6" t="s">
        <v>3004</v>
      </c>
      <c r="C503" s="6" t="s">
        <v>2594</v>
      </c>
      <c r="D503" s="6" t="s">
        <v>2989</v>
      </c>
      <c r="E503" s="6" t="s">
        <v>2672</v>
      </c>
      <c r="F503" s="10" t="n">
        <v>1833070</v>
      </c>
      <c r="G503" s="10" t="n">
        <v>65703000000</v>
      </c>
      <c r="H503" s="14" t="n">
        <v>1.35</v>
      </c>
      <c r="I503" s="9" t="s">
        <v>3005</v>
      </c>
      <c r="J503" s="6"/>
      <c r="K503" s="9" t="s">
        <v>2645</v>
      </c>
      <c r="L503" s="9" t="s">
        <v>1850</v>
      </c>
    </row>
    <row r="504" customFormat="false" ht="15" hidden="false" customHeight="false" outlineLevel="0" collapsed="false">
      <c r="A504" s="6" t="s">
        <v>228</v>
      </c>
      <c r="B504" s="6" t="s">
        <v>3004</v>
      </c>
      <c r="C504" s="6" t="s">
        <v>2594</v>
      </c>
      <c r="D504" s="6" t="s">
        <v>2989</v>
      </c>
      <c r="E504" s="6" t="s">
        <v>2672</v>
      </c>
      <c r="F504" s="10" t="n">
        <v>22163</v>
      </c>
      <c r="G504" s="10" t="n">
        <v>2050000000</v>
      </c>
      <c r="H504" s="14" t="n">
        <v>0.02</v>
      </c>
      <c r="I504" s="9" t="s">
        <v>2458</v>
      </c>
      <c r="J504" s="6"/>
      <c r="K504" s="9" t="s">
        <v>2645</v>
      </c>
      <c r="L504" s="9" t="s">
        <v>1850</v>
      </c>
    </row>
    <row r="505" customFormat="false" ht="15" hidden="false" customHeight="false" outlineLevel="0" collapsed="false">
      <c r="A505" s="6" t="s">
        <v>228</v>
      </c>
      <c r="B505" s="6" t="s">
        <v>3004</v>
      </c>
      <c r="C505" s="6" t="s">
        <v>2594</v>
      </c>
      <c r="D505" s="6" t="s">
        <v>2989</v>
      </c>
      <c r="E505" s="6" t="s">
        <v>2672</v>
      </c>
      <c r="F505" s="10" t="n">
        <v>269</v>
      </c>
      <c r="G505" s="10" t="n">
        <v>20000000</v>
      </c>
      <c r="H505" s="14" t="n">
        <v>0</v>
      </c>
      <c r="I505" s="9" t="s">
        <v>2987</v>
      </c>
      <c r="J505" s="6"/>
      <c r="K505" s="9" t="s">
        <v>2645</v>
      </c>
      <c r="L505" s="9" t="s">
        <v>1850</v>
      </c>
    </row>
    <row r="506" customFormat="false" ht="15" hidden="false" customHeight="false" outlineLevel="0" collapsed="false">
      <c r="A506" s="6" t="s">
        <v>228</v>
      </c>
      <c r="B506" s="6" t="s">
        <v>3004</v>
      </c>
      <c r="C506" s="6" t="s">
        <v>2594</v>
      </c>
      <c r="D506" s="6" t="s">
        <v>2989</v>
      </c>
      <c r="E506" s="6" t="s">
        <v>2672</v>
      </c>
      <c r="F506" s="10" t="n">
        <v>16918</v>
      </c>
      <c r="G506" s="10" t="n">
        <v>1180000000</v>
      </c>
      <c r="H506" s="14" t="n">
        <v>0.01</v>
      </c>
      <c r="I506" s="9" t="s">
        <v>2183</v>
      </c>
      <c r="J506" s="6"/>
      <c r="K506" s="9" t="s">
        <v>2645</v>
      </c>
      <c r="L506" s="9" t="s">
        <v>1850</v>
      </c>
    </row>
    <row r="507" customFormat="false" ht="15" hidden="false" customHeight="false" outlineLevel="0" collapsed="false">
      <c r="A507" s="6" t="s">
        <v>228</v>
      </c>
      <c r="B507" s="6" t="s">
        <v>3004</v>
      </c>
      <c r="C507" s="6" t="s">
        <v>2594</v>
      </c>
      <c r="D507" s="6" t="s">
        <v>2989</v>
      </c>
      <c r="E507" s="6" t="s">
        <v>2672</v>
      </c>
      <c r="F507" s="10" t="n">
        <v>3290</v>
      </c>
      <c r="G507" s="10" t="n">
        <v>200000000</v>
      </c>
      <c r="H507" s="14" t="n">
        <v>0</v>
      </c>
      <c r="I507" s="9" t="s">
        <v>2436</v>
      </c>
      <c r="J507" s="6"/>
      <c r="K507" s="9" t="s">
        <v>2645</v>
      </c>
      <c r="L507" s="9" t="s">
        <v>1850</v>
      </c>
    </row>
    <row r="508" customFormat="false" ht="15" hidden="false" customHeight="false" outlineLevel="0" collapsed="false">
      <c r="A508" s="6" t="s">
        <v>228</v>
      </c>
      <c r="B508" s="6" t="s">
        <v>3004</v>
      </c>
      <c r="C508" s="6" t="s">
        <v>2594</v>
      </c>
      <c r="D508" s="6" t="s">
        <v>2989</v>
      </c>
      <c r="E508" s="6" t="s">
        <v>2672</v>
      </c>
      <c r="F508" s="10" t="n">
        <v>25189</v>
      </c>
      <c r="G508" s="10" t="n">
        <v>1000000000</v>
      </c>
      <c r="H508" s="14" t="n">
        <v>0.02</v>
      </c>
      <c r="I508" s="9" t="s">
        <v>3006</v>
      </c>
      <c r="J508" s="6"/>
      <c r="K508" s="9" t="s">
        <v>2645</v>
      </c>
      <c r="L508" s="9" t="s">
        <v>1850</v>
      </c>
    </row>
    <row r="509" customFormat="false" ht="15" hidden="false" customHeight="false" outlineLevel="0" collapsed="false">
      <c r="A509" s="6" t="s">
        <v>228</v>
      </c>
      <c r="B509" s="6" t="s">
        <v>3004</v>
      </c>
      <c r="C509" s="6" t="s">
        <v>2594</v>
      </c>
      <c r="D509" s="6" t="s">
        <v>2989</v>
      </c>
      <c r="E509" s="6" t="s">
        <v>2665</v>
      </c>
      <c r="F509" s="10" t="n">
        <v>32873</v>
      </c>
      <c r="G509" s="10" t="n">
        <v>20000000000</v>
      </c>
      <c r="H509" s="14" t="n">
        <v>0.02</v>
      </c>
      <c r="I509" s="9" t="s">
        <v>3007</v>
      </c>
      <c r="J509" s="6"/>
      <c r="K509" s="9" t="s">
        <v>2645</v>
      </c>
      <c r="L509" s="9" t="s">
        <v>1850</v>
      </c>
    </row>
    <row r="510" customFormat="false" ht="15" hidden="false" customHeight="false" outlineLevel="0" collapsed="false">
      <c r="A510" s="6" t="s">
        <v>228</v>
      </c>
      <c r="B510" s="6" t="s">
        <v>3004</v>
      </c>
      <c r="C510" s="6" t="s">
        <v>2594</v>
      </c>
      <c r="D510" s="6" t="s">
        <v>2989</v>
      </c>
      <c r="E510" s="6" t="s">
        <v>2665</v>
      </c>
      <c r="F510" s="10" t="n">
        <v>32873</v>
      </c>
      <c r="G510" s="10" t="n">
        <v>20000000000</v>
      </c>
      <c r="H510" s="14" t="n">
        <v>0.02</v>
      </c>
      <c r="I510" s="9" t="s">
        <v>3008</v>
      </c>
      <c r="J510" s="6"/>
      <c r="K510" s="9" t="s">
        <v>2645</v>
      </c>
      <c r="L510" s="9" t="s">
        <v>1850</v>
      </c>
    </row>
    <row r="511" customFormat="false" ht="15" hidden="false" customHeight="false" outlineLevel="0" collapsed="false">
      <c r="A511" s="6" t="s">
        <v>228</v>
      </c>
      <c r="B511" s="6" t="s">
        <v>3004</v>
      </c>
      <c r="C511" s="6" t="s">
        <v>2594</v>
      </c>
      <c r="D511" s="6" t="s">
        <v>2989</v>
      </c>
      <c r="E511" s="6" t="s">
        <v>2665</v>
      </c>
      <c r="F511" s="10" t="n">
        <v>16436</v>
      </c>
      <c r="G511" s="10" t="n">
        <v>10000000000</v>
      </c>
      <c r="H511" s="14" t="n">
        <v>0.01</v>
      </c>
      <c r="I511" s="9" t="s">
        <v>3009</v>
      </c>
      <c r="J511" s="6"/>
      <c r="K511" s="9" t="s">
        <v>2645</v>
      </c>
      <c r="L511" s="9" t="s">
        <v>1850</v>
      </c>
    </row>
    <row r="512" customFormat="false" ht="15" hidden="false" customHeight="false" outlineLevel="0" collapsed="false">
      <c r="A512" s="6" t="s">
        <v>228</v>
      </c>
      <c r="B512" s="6" t="s">
        <v>3004</v>
      </c>
      <c r="C512" s="6" t="s">
        <v>2594</v>
      </c>
      <c r="D512" s="6" t="s">
        <v>2989</v>
      </c>
      <c r="E512" s="6" t="s">
        <v>2665</v>
      </c>
      <c r="F512" s="10" t="n">
        <v>16436</v>
      </c>
      <c r="G512" s="10" t="n">
        <v>10000000000</v>
      </c>
      <c r="H512" s="14" t="n">
        <v>0.01</v>
      </c>
      <c r="I512" s="9" t="s">
        <v>2706</v>
      </c>
      <c r="J512" s="6"/>
      <c r="K512" s="9" t="s">
        <v>2645</v>
      </c>
      <c r="L512" s="9" t="s">
        <v>1850</v>
      </c>
    </row>
    <row r="513" customFormat="false" ht="15" hidden="false" customHeight="false" outlineLevel="0" collapsed="false">
      <c r="A513" s="6" t="s">
        <v>228</v>
      </c>
      <c r="B513" s="6" t="s">
        <v>3004</v>
      </c>
      <c r="C513" s="6" t="s">
        <v>2594</v>
      </c>
      <c r="D513" s="6" t="s">
        <v>2989</v>
      </c>
      <c r="E513" s="6" t="s">
        <v>2665</v>
      </c>
      <c r="F513" s="10" t="n">
        <v>16436</v>
      </c>
      <c r="G513" s="10" t="n">
        <v>10000000000</v>
      </c>
      <c r="H513" s="14" t="n">
        <v>0.01</v>
      </c>
      <c r="I513" s="9" t="s">
        <v>3010</v>
      </c>
      <c r="J513" s="6"/>
      <c r="K513" s="9" t="s">
        <v>2645</v>
      </c>
      <c r="L513" s="9" t="s">
        <v>1850</v>
      </c>
    </row>
    <row r="514" customFormat="false" ht="15" hidden="false" customHeight="false" outlineLevel="0" collapsed="false">
      <c r="A514" s="6" t="s">
        <v>228</v>
      </c>
      <c r="B514" s="6" t="s">
        <v>3004</v>
      </c>
      <c r="C514" s="6" t="s">
        <v>2594</v>
      </c>
      <c r="D514" s="6" t="s">
        <v>2989</v>
      </c>
      <c r="E514" s="6" t="s">
        <v>2665</v>
      </c>
      <c r="F514" s="10" t="n">
        <v>45200</v>
      </c>
      <c r="G514" s="10" t="n">
        <v>27500000000</v>
      </c>
      <c r="H514" s="14" t="n">
        <v>0.03</v>
      </c>
      <c r="I514" s="9" t="s">
        <v>3011</v>
      </c>
      <c r="J514" s="6"/>
      <c r="K514" s="9" t="s">
        <v>2645</v>
      </c>
      <c r="L514" s="9" t="s">
        <v>1850</v>
      </c>
    </row>
    <row r="515" customFormat="false" ht="15" hidden="false" customHeight="false" outlineLevel="0" collapsed="false">
      <c r="A515" s="6" t="s">
        <v>228</v>
      </c>
      <c r="B515" s="6" t="s">
        <v>3004</v>
      </c>
      <c r="C515" s="6" t="s">
        <v>2594</v>
      </c>
      <c r="D515" s="6" t="s">
        <v>2989</v>
      </c>
      <c r="E515" s="6" t="s">
        <v>2665</v>
      </c>
      <c r="F515" s="10" t="n">
        <v>65746</v>
      </c>
      <c r="G515" s="10" t="n">
        <v>40000000000</v>
      </c>
      <c r="H515" s="14" t="n">
        <v>0.05</v>
      </c>
      <c r="I515" s="9" t="s">
        <v>3012</v>
      </c>
      <c r="J515" s="6"/>
      <c r="K515" s="9" t="s">
        <v>2645</v>
      </c>
      <c r="L515" s="9" t="s">
        <v>1850</v>
      </c>
    </row>
    <row r="516" customFormat="false" ht="15" hidden="false" customHeight="false" outlineLevel="0" collapsed="false">
      <c r="A516" s="6" t="s">
        <v>228</v>
      </c>
      <c r="B516" s="6" t="s">
        <v>3004</v>
      </c>
      <c r="C516" s="6" t="s">
        <v>2594</v>
      </c>
      <c r="D516" s="6" t="s">
        <v>2989</v>
      </c>
      <c r="E516" s="6" t="s">
        <v>2750</v>
      </c>
      <c r="F516" s="10" t="n">
        <v>528660</v>
      </c>
      <c r="G516" s="10" t="n">
        <v>19000000000</v>
      </c>
      <c r="H516" s="14" t="n">
        <v>0.39</v>
      </c>
      <c r="I516" s="9" t="s">
        <v>3013</v>
      </c>
      <c r="J516" s="6"/>
      <c r="K516" s="9" t="s">
        <v>2645</v>
      </c>
      <c r="L516" s="9" t="s">
        <v>1850</v>
      </c>
    </row>
    <row r="517" customFormat="false" ht="15" hidden="false" customHeight="false" outlineLevel="0" collapsed="false">
      <c r="A517" s="6" t="s">
        <v>228</v>
      </c>
      <c r="B517" s="6" t="s">
        <v>3004</v>
      </c>
      <c r="C517" s="6" t="s">
        <v>2594</v>
      </c>
      <c r="D517" s="6" t="s">
        <v>2989</v>
      </c>
      <c r="E517" s="6" t="s">
        <v>2750</v>
      </c>
      <c r="F517" s="10" t="n">
        <v>141904</v>
      </c>
      <c r="G517" s="10" t="n">
        <v>5100000000</v>
      </c>
      <c r="H517" s="14" t="n">
        <v>0.1</v>
      </c>
      <c r="I517" s="9" t="s">
        <v>3013</v>
      </c>
      <c r="J517" s="6"/>
      <c r="K517" s="9" t="s">
        <v>2645</v>
      </c>
      <c r="L517" s="9" t="s">
        <v>1850</v>
      </c>
    </row>
    <row r="518" customFormat="false" ht="15" hidden="false" customHeight="false" outlineLevel="0" collapsed="false">
      <c r="A518" s="6" t="s">
        <v>228</v>
      </c>
      <c r="B518" s="6" t="s">
        <v>3004</v>
      </c>
      <c r="C518" s="6" t="s">
        <v>2594</v>
      </c>
      <c r="D518" s="6" t="s">
        <v>2989</v>
      </c>
      <c r="E518" s="9" t="s">
        <v>2997</v>
      </c>
      <c r="F518" s="10" t="n">
        <v>489237</v>
      </c>
      <c r="G518" s="10" t="n">
        <v>10000000000</v>
      </c>
      <c r="H518" s="14" t="n">
        <v>0.36</v>
      </c>
      <c r="I518" s="9" t="s">
        <v>2727</v>
      </c>
      <c r="J518" s="6"/>
      <c r="K518" s="9" t="s">
        <v>2645</v>
      </c>
      <c r="L518" s="9" t="s">
        <v>1850</v>
      </c>
    </row>
    <row r="519" customFormat="false" ht="15" hidden="false" customHeight="false" outlineLevel="0" collapsed="false">
      <c r="A519" s="6" t="s">
        <v>228</v>
      </c>
      <c r="B519" s="6" t="s">
        <v>3004</v>
      </c>
      <c r="C519" s="6" t="s">
        <v>2594</v>
      </c>
      <c r="D519" s="6" t="s">
        <v>2989</v>
      </c>
      <c r="E519" s="6" t="s">
        <v>2677</v>
      </c>
      <c r="F519" s="10" t="n">
        <v>35047</v>
      </c>
      <c r="G519" s="10" t="n">
        <v>750000000</v>
      </c>
      <c r="H519" s="14" t="n">
        <v>0.03</v>
      </c>
      <c r="I519" s="9" t="s">
        <v>2996</v>
      </c>
      <c r="J519" s="6"/>
      <c r="K519" s="9" t="s">
        <v>2645</v>
      </c>
      <c r="L519" s="9" t="s">
        <v>1850</v>
      </c>
    </row>
    <row r="520" customFormat="false" ht="15" hidden="false" customHeight="false" outlineLevel="0" collapsed="false">
      <c r="A520" s="6" t="s">
        <v>228</v>
      </c>
      <c r="B520" s="6" t="s">
        <v>3004</v>
      </c>
      <c r="C520" s="6" t="s">
        <v>2594</v>
      </c>
      <c r="D520" s="6" t="s">
        <v>2989</v>
      </c>
      <c r="E520" s="6" t="s">
        <v>2677</v>
      </c>
      <c r="F520" s="10" t="n">
        <v>4515</v>
      </c>
      <c r="G520" s="10" t="n">
        <v>100000000</v>
      </c>
      <c r="H520" s="14" t="n">
        <v>0</v>
      </c>
      <c r="I520" s="9" t="s">
        <v>3014</v>
      </c>
      <c r="J520" s="6"/>
      <c r="K520" s="9" t="s">
        <v>2645</v>
      </c>
      <c r="L520" s="9" t="s">
        <v>1850</v>
      </c>
    </row>
    <row r="521" customFormat="false" ht="15" hidden="false" customHeight="false" outlineLevel="0" collapsed="false">
      <c r="A521" s="6" t="s">
        <v>228</v>
      </c>
      <c r="B521" s="6" t="s">
        <v>3004</v>
      </c>
      <c r="C521" s="6" t="s">
        <v>2594</v>
      </c>
      <c r="D521" s="6" t="s">
        <v>2989</v>
      </c>
      <c r="E521" s="6" t="s">
        <v>2677</v>
      </c>
      <c r="F521" s="10" t="n">
        <v>50942</v>
      </c>
      <c r="G521" s="10" t="n">
        <v>1150000000</v>
      </c>
      <c r="H521" s="14" t="n">
        <v>0.04</v>
      </c>
      <c r="I521" s="9" t="s">
        <v>3015</v>
      </c>
      <c r="J521" s="6"/>
      <c r="K521" s="9" t="s">
        <v>2645</v>
      </c>
      <c r="L521" s="9" t="s">
        <v>1850</v>
      </c>
    </row>
    <row r="522" customFormat="false" ht="15" hidden="false" customHeight="false" outlineLevel="0" collapsed="false">
      <c r="A522" s="6" t="s">
        <v>228</v>
      </c>
      <c r="B522" s="6" t="s">
        <v>3004</v>
      </c>
      <c r="C522" s="6" t="s">
        <v>2594</v>
      </c>
      <c r="D522" s="6" t="s">
        <v>2989</v>
      </c>
      <c r="E522" s="6" t="s">
        <v>2677</v>
      </c>
      <c r="F522" s="10" t="n">
        <v>51522</v>
      </c>
      <c r="G522" s="10" t="n">
        <v>1270000000</v>
      </c>
      <c r="H522" s="14" t="n">
        <v>0.04</v>
      </c>
      <c r="I522" s="9" t="s">
        <v>2860</v>
      </c>
      <c r="J522" s="6"/>
      <c r="K522" s="9" t="s">
        <v>2645</v>
      </c>
      <c r="L522" s="9" t="s">
        <v>1850</v>
      </c>
    </row>
    <row r="523" customFormat="false" ht="15" hidden="false" customHeight="false" outlineLevel="0" collapsed="false">
      <c r="A523" s="6" t="s">
        <v>228</v>
      </c>
      <c r="B523" s="6" t="s">
        <v>3004</v>
      </c>
      <c r="C523" s="6" t="s">
        <v>2594</v>
      </c>
      <c r="D523" s="6" t="s">
        <v>2989</v>
      </c>
      <c r="E523" s="6" t="s">
        <v>2677</v>
      </c>
      <c r="F523" s="10" t="n">
        <v>47431</v>
      </c>
      <c r="G523" s="10" t="n">
        <v>1200000000</v>
      </c>
      <c r="H523" s="14" t="n">
        <v>0.03</v>
      </c>
      <c r="I523" s="9" t="s">
        <v>3016</v>
      </c>
      <c r="J523" s="6"/>
      <c r="K523" s="9" t="s">
        <v>2645</v>
      </c>
      <c r="L523" s="9" t="s">
        <v>1850</v>
      </c>
    </row>
    <row r="524" customFormat="false" ht="15" hidden="false" customHeight="false" outlineLevel="0" collapsed="false">
      <c r="A524" s="6" t="s">
        <v>228</v>
      </c>
      <c r="B524" s="6" t="s">
        <v>3004</v>
      </c>
      <c r="C524" s="6" t="s">
        <v>2594</v>
      </c>
      <c r="D524" s="6" t="s">
        <v>2989</v>
      </c>
      <c r="E524" s="6" t="s">
        <v>2677</v>
      </c>
      <c r="F524" s="10" t="n">
        <v>7226</v>
      </c>
      <c r="G524" s="10" t="n">
        <v>530000000</v>
      </c>
      <c r="H524" s="14" t="n">
        <v>0.01</v>
      </c>
      <c r="I524" s="9" t="s">
        <v>3017</v>
      </c>
      <c r="J524" s="6"/>
      <c r="K524" s="9" t="s">
        <v>2645</v>
      </c>
      <c r="L524" s="9" t="s">
        <v>1850</v>
      </c>
    </row>
    <row r="525" customFormat="false" ht="15" hidden="false" customHeight="false" outlineLevel="0" collapsed="false">
      <c r="A525" s="6" t="s">
        <v>228</v>
      </c>
      <c r="B525" s="6" t="s">
        <v>3004</v>
      </c>
      <c r="C525" s="6" t="s">
        <v>2594</v>
      </c>
      <c r="D525" s="6" t="s">
        <v>2989</v>
      </c>
      <c r="E525" s="6" t="s">
        <v>2919</v>
      </c>
      <c r="F525" s="10" t="n">
        <v>309091</v>
      </c>
      <c r="G525" s="10" t="n">
        <v>13600000000</v>
      </c>
      <c r="H525" s="14" t="n">
        <v>0.23</v>
      </c>
      <c r="I525" s="9" t="s">
        <v>2567</v>
      </c>
      <c r="J525" s="6"/>
      <c r="K525" s="9" t="s">
        <v>2645</v>
      </c>
      <c r="L525" s="9" t="s">
        <v>1850</v>
      </c>
    </row>
    <row r="526" customFormat="false" ht="15" hidden="false" customHeight="false" outlineLevel="0" collapsed="false">
      <c r="A526" s="6" t="s">
        <v>228</v>
      </c>
      <c r="B526" s="6" t="s">
        <v>3004</v>
      </c>
      <c r="C526" s="6" t="s">
        <v>2594</v>
      </c>
      <c r="D526" s="6" t="s">
        <v>2989</v>
      </c>
      <c r="E526" s="6" t="s">
        <v>2919</v>
      </c>
      <c r="F526" s="10" t="n">
        <v>68042</v>
      </c>
      <c r="G526" s="10" t="n">
        <v>3300000000</v>
      </c>
      <c r="H526" s="14" t="n">
        <v>0.05</v>
      </c>
      <c r="I526" s="9" t="s">
        <v>2158</v>
      </c>
      <c r="J526" s="6"/>
      <c r="K526" s="9" t="s">
        <v>2645</v>
      </c>
      <c r="L526" s="9" t="s">
        <v>1850</v>
      </c>
    </row>
    <row r="527" customFormat="false" ht="15" hidden="false" customHeight="false" outlineLevel="0" collapsed="false">
      <c r="A527" s="6" t="s">
        <v>228</v>
      </c>
      <c r="B527" s="6" t="s">
        <v>3004</v>
      </c>
      <c r="C527" s="6" t="s">
        <v>2594</v>
      </c>
      <c r="D527" s="6" t="s">
        <v>2989</v>
      </c>
      <c r="E527" s="6" t="s">
        <v>2919</v>
      </c>
      <c r="F527" s="10" t="n">
        <v>26432</v>
      </c>
      <c r="G527" s="10" t="n">
        <v>1200000000</v>
      </c>
      <c r="H527" s="14" t="n">
        <v>0.02</v>
      </c>
      <c r="I527" s="9" t="s">
        <v>3018</v>
      </c>
      <c r="J527" s="6"/>
      <c r="K527" s="9" t="s">
        <v>2645</v>
      </c>
      <c r="L527" s="9" t="s">
        <v>1850</v>
      </c>
    </row>
    <row r="528" customFormat="false" ht="15" hidden="false" customHeight="false" outlineLevel="0" collapsed="false">
      <c r="A528" s="6" t="s">
        <v>228</v>
      </c>
      <c r="B528" s="6" t="s">
        <v>3004</v>
      </c>
      <c r="C528" s="6" t="s">
        <v>2594</v>
      </c>
      <c r="D528" s="6" t="s">
        <v>2989</v>
      </c>
      <c r="E528" s="6" t="s">
        <v>2919</v>
      </c>
      <c r="F528" s="10" t="n">
        <v>10228</v>
      </c>
      <c r="G528" s="10" t="n">
        <v>450000000</v>
      </c>
      <c r="H528" s="14" t="n">
        <v>0.01</v>
      </c>
      <c r="I528" s="9" t="s">
        <v>2418</v>
      </c>
      <c r="J528" s="6"/>
      <c r="K528" s="9" t="s">
        <v>2645</v>
      </c>
      <c r="L528" s="9" t="s">
        <v>1850</v>
      </c>
    </row>
    <row r="529" customFormat="false" ht="15" hidden="false" customHeight="false" outlineLevel="0" collapsed="false">
      <c r="A529" s="6" t="s">
        <v>228</v>
      </c>
      <c r="B529" s="6" t="s">
        <v>3004</v>
      </c>
      <c r="C529" s="6" t="s">
        <v>2594</v>
      </c>
      <c r="D529" s="6" t="s">
        <v>2989</v>
      </c>
      <c r="E529" s="6" t="s">
        <v>2919</v>
      </c>
      <c r="F529" s="10" t="n">
        <v>24762</v>
      </c>
      <c r="G529" s="10" t="n">
        <v>1300000000</v>
      </c>
      <c r="H529" s="14" t="n">
        <v>0.02</v>
      </c>
      <c r="I529" s="9" t="s">
        <v>2393</v>
      </c>
      <c r="J529" s="6"/>
      <c r="K529" s="9" t="s">
        <v>2645</v>
      </c>
      <c r="L529" s="9" t="s">
        <v>1850</v>
      </c>
    </row>
    <row r="530" customFormat="false" ht="15" hidden="false" customHeight="false" outlineLevel="0" collapsed="false">
      <c r="A530" s="6" t="s">
        <v>228</v>
      </c>
      <c r="B530" s="6" t="s">
        <v>3004</v>
      </c>
      <c r="C530" s="6" t="s">
        <v>2594</v>
      </c>
      <c r="D530" s="6" t="s">
        <v>2989</v>
      </c>
      <c r="E530" s="6" t="s">
        <v>2919</v>
      </c>
      <c r="F530" s="10" t="n">
        <v>2468</v>
      </c>
      <c r="G530" s="10" t="n">
        <v>150000000</v>
      </c>
      <c r="H530" s="14" t="n">
        <v>0</v>
      </c>
      <c r="I530" s="9" t="s">
        <v>2436</v>
      </c>
      <c r="J530" s="6"/>
      <c r="K530" s="9" t="s">
        <v>2645</v>
      </c>
      <c r="L530" s="9" t="s">
        <v>1850</v>
      </c>
    </row>
    <row r="531" customFormat="false" ht="15" hidden="false" customHeight="false" outlineLevel="0" collapsed="false">
      <c r="A531" s="6" t="s">
        <v>228</v>
      </c>
      <c r="B531" s="6" t="s">
        <v>3004</v>
      </c>
      <c r="C531" s="6" t="s">
        <v>2594</v>
      </c>
      <c r="D531" s="6" t="s">
        <v>2989</v>
      </c>
      <c r="E531" s="6" t="s">
        <v>2919</v>
      </c>
      <c r="F531" s="10" t="n">
        <v>344828</v>
      </c>
      <c r="G531" s="10" t="n">
        <v>20000000000</v>
      </c>
      <c r="H531" s="14" t="n">
        <v>0.25</v>
      </c>
      <c r="I531" s="9" t="s">
        <v>2921</v>
      </c>
      <c r="J531" s="6"/>
      <c r="K531" s="9" t="s">
        <v>2645</v>
      </c>
      <c r="L531" s="9" t="s">
        <v>1850</v>
      </c>
    </row>
    <row r="532" customFormat="false" ht="15" hidden="false" customHeight="false" outlineLevel="0" collapsed="false">
      <c r="A532" s="6" t="s">
        <v>228</v>
      </c>
      <c r="B532" s="6" t="s">
        <v>3004</v>
      </c>
      <c r="C532" s="6" t="s">
        <v>2594</v>
      </c>
      <c r="D532" s="6" t="s">
        <v>2989</v>
      </c>
      <c r="E532" s="6" t="s">
        <v>2667</v>
      </c>
      <c r="F532" s="10" t="n">
        <v>160000</v>
      </c>
      <c r="G532" s="10" t="n">
        <v>10000000000</v>
      </c>
      <c r="H532" s="14" t="n">
        <v>0.12</v>
      </c>
      <c r="I532" s="9" t="s">
        <v>2655</v>
      </c>
      <c r="J532" s="6"/>
      <c r="K532" s="9" t="s">
        <v>2645</v>
      </c>
      <c r="L532" s="9" t="s">
        <v>1850</v>
      </c>
    </row>
    <row r="533" customFormat="false" ht="15" hidden="false" customHeight="false" outlineLevel="0" collapsed="false">
      <c r="A533" s="6" t="s">
        <v>228</v>
      </c>
      <c r="B533" s="6" t="s">
        <v>3004</v>
      </c>
      <c r="C533" s="6" t="s">
        <v>2594</v>
      </c>
      <c r="D533" s="6" t="s">
        <v>2989</v>
      </c>
      <c r="E533" s="9" t="s">
        <v>2878</v>
      </c>
      <c r="F533" s="10" t="n">
        <v>169492</v>
      </c>
      <c r="G533" s="10" t="n">
        <v>10000000000</v>
      </c>
      <c r="H533" s="14" t="n">
        <v>0.12</v>
      </c>
      <c r="I533" s="9" t="s">
        <v>2553</v>
      </c>
      <c r="J533" s="6"/>
      <c r="K533" s="9" t="s">
        <v>2645</v>
      </c>
      <c r="L533" s="9" t="s">
        <v>1850</v>
      </c>
    </row>
    <row r="534" customFormat="false" ht="15" hidden="false" customHeight="false" outlineLevel="0" collapsed="false">
      <c r="A534" s="6" t="s">
        <v>228</v>
      </c>
      <c r="B534" s="6" t="s">
        <v>2988</v>
      </c>
      <c r="C534" s="6" t="s">
        <v>2604</v>
      </c>
      <c r="D534" s="6" t="s">
        <v>2989</v>
      </c>
      <c r="E534" s="6" t="s">
        <v>2674</v>
      </c>
      <c r="F534" s="10" t="n">
        <v>40575</v>
      </c>
      <c r="G534" s="10" t="n">
        <v>4980922200</v>
      </c>
      <c r="H534" s="14" t="n">
        <v>0.03</v>
      </c>
      <c r="I534" s="9" t="s">
        <v>2990</v>
      </c>
      <c r="J534" s="6"/>
      <c r="K534" s="9" t="s">
        <v>2645</v>
      </c>
      <c r="L534" s="9" t="s">
        <v>3019</v>
      </c>
    </row>
    <row r="535" customFormat="false" ht="15" hidden="false" customHeight="false" outlineLevel="0" collapsed="false">
      <c r="A535" s="6" t="s">
        <v>228</v>
      </c>
      <c r="B535" s="6" t="s">
        <v>2988</v>
      </c>
      <c r="C535" s="6" t="s">
        <v>2604</v>
      </c>
      <c r="D535" s="6" t="s">
        <v>2989</v>
      </c>
      <c r="E535" s="6" t="s">
        <v>2674</v>
      </c>
      <c r="F535" s="10" t="n">
        <v>8305</v>
      </c>
      <c r="G535" s="10" t="n">
        <v>1019070000</v>
      </c>
      <c r="H535" s="14" t="n">
        <v>0.01</v>
      </c>
      <c r="I535" s="9" t="s">
        <v>2991</v>
      </c>
      <c r="J535" s="6"/>
      <c r="K535" s="9" t="s">
        <v>2645</v>
      </c>
      <c r="L535" s="9" t="s">
        <v>3019</v>
      </c>
    </row>
    <row r="536" customFormat="false" ht="15" hidden="false" customHeight="false" outlineLevel="0" collapsed="false">
      <c r="A536" s="6" t="s">
        <v>228</v>
      </c>
      <c r="B536" s="6" t="s">
        <v>2988</v>
      </c>
      <c r="C536" s="6" t="s">
        <v>2604</v>
      </c>
      <c r="D536" s="6" t="s">
        <v>2989</v>
      </c>
      <c r="E536" s="6" t="s">
        <v>2674</v>
      </c>
      <c r="F536" s="10" t="n">
        <v>41322</v>
      </c>
      <c r="G536" s="10" t="n">
        <v>1000000000</v>
      </c>
      <c r="H536" s="14" t="n">
        <v>0.03</v>
      </c>
      <c r="I536" s="9" t="s">
        <v>2992</v>
      </c>
      <c r="J536" s="6"/>
      <c r="K536" s="9" t="s">
        <v>2645</v>
      </c>
      <c r="L536" s="9" t="s">
        <v>3019</v>
      </c>
    </row>
    <row r="537" customFormat="false" ht="15" hidden="false" customHeight="false" outlineLevel="0" collapsed="false">
      <c r="A537" s="6" t="s">
        <v>228</v>
      </c>
      <c r="B537" s="6" t="s">
        <v>2988</v>
      </c>
      <c r="C537" s="6" t="s">
        <v>2604</v>
      </c>
      <c r="D537" s="6" t="s">
        <v>2989</v>
      </c>
      <c r="E537" s="6" t="s">
        <v>2665</v>
      </c>
      <c r="F537" s="10" t="n">
        <v>744890</v>
      </c>
      <c r="G537" s="10" t="n">
        <v>5000000000</v>
      </c>
      <c r="H537" s="14" t="n">
        <v>0.55</v>
      </c>
      <c r="I537" s="9" t="s">
        <v>2993</v>
      </c>
      <c r="J537" s="6"/>
      <c r="K537" s="9" t="s">
        <v>2645</v>
      </c>
      <c r="L537" s="9" t="s">
        <v>3019</v>
      </c>
    </row>
    <row r="538" customFormat="false" ht="15" hidden="false" customHeight="false" outlineLevel="0" collapsed="false">
      <c r="A538" s="6" t="s">
        <v>228</v>
      </c>
      <c r="B538" s="6" t="s">
        <v>2988</v>
      </c>
      <c r="C538" s="6" t="s">
        <v>2604</v>
      </c>
      <c r="D538" s="6" t="s">
        <v>2989</v>
      </c>
      <c r="E538" s="6" t="s">
        <v>2672</v>
      </c>
      <c r="F538" s="10" t="n">
        <v>524110</v>
      </c>
      <c r="G538" s="10" t="n">
        <v>10000000000</v>
      </c>
      <c r="H538" s="14" t="n">
        <v>0.39</v>
      </c>
      <c r="I538" s="9" t="s">
        <v>2951</v>
      </c>
      <c r="J538" s="6"/>
      <c r="K538" s="9" t="s">
        <v>2645</v>
      </c>
      <c r="L538" s="9" t="s">
        <v>3019</v>
      </c>
    </row>
    <row r="539" customFormat="false" ht="15" hidden="false" customHeight="false" outlineLevel="0" collapsed="false">
      <c r="A539" s="6" t="s">
        <v>228</v>
      </c>
      <c r="B539" s="6" t="s">
        <v>2988</v>
      </c>
      <c r="C539" s="6" t="s">
        <v>2604</v>
      </c>
      <c r="D539" s="6" t="s">
        <v>2989</v>
      </c>
      <c r="E539" s="6" t="s">
        <v>2672</v>
      </c>
      <c r="F539" s="10" t="n">
        <v>52409</v>
      </c>
      <c r="G539" s="10" t="n">
        <v>1000000000</v>
      </c>
      <c r="H539" s="14" t="n">
        <v>0.04</v>
      </c>
      <c r="I539" s="9" t="s">
        <v>2994</v>
      </c>
      <c r="J539" s="6"/>
      <c r="K539" s="9" t="s">
        <v>2645</v>
      </c>
      <c r="L539" s="9" t="s">
        <v>3019</v>
      </c>
    </row>
    <row r="540" customFormat="false" ht="15" hidden="false" customHeight="false" outlineLevel="0" collapsed="false">
      <c r="A540" s="6" t="s">
        <v>228</v>
      </c>
      <c r="B540" s="6" t="s">
        <v>2988</v>
      </c>
      <c r="C540" s="6" t="s">
        <v>2604</v>
      </c>
      <c r="D540" s="6" t="s">
        <v>2989</v>
      </c>
      <c r="E540" s="6" t="s">
        <v>2672</v>
      </c>
      <c r="F540" s="10" t="n">
        <v>524110</v>
      </c>
      <c r="G540" s="10" t="n">
        <v>10000000000</v>
      </c>
      <c r="H540" s="14" t="n">
        <v>0.39</v>
      </c>
      <c r="I540" s="9" t="s">
        <v>2995</v>
      </c>
      <c r="J540" s="6"/>
      <c r="K540" s="9" t="s">
        <v>2645</v>
      </c>
      <c r="L540" s="9" t="s">
        <v>3019</v>
      </c>
    </row>
    <row r="541" customFormat="false" ht="15" hidden="false" customHeight="false" outlineLevel="0" collapsed="false">
      <c r="A541" s="6" t="s">
        <v>228</v>
      </c>
      <c r="B541" s="6" t="s">
        <v>2988</v>
      </c>
      <c r="C541" s="6" t="s">
        <v>2604</v>
      </c>
      <c r="D541" s="6" t="s">
        <v>2989</v>
      </c>
      <c r="E541" s="6" t="s">
        <v>2750</v>
      </c>
      <c r="F541" s="10" t="n">
        <v>53851</v>
      </c>
      <c r="G541" s="10" t="n">
        <v>2000000000</v>
      </c>
      <c r="H541" s="14" t="n">
        <v>0.04</v>
      </c>
      <c r="I541" s="9" t="s">
        <v>2995</v>
      </c>
      <c r="J541" s="6"/>
      <c r="K541" s="9" t="s">
        <v>2645</v>
      </c>
      <c r="L541" s="9" t="s">
        <v>3019</v>
      </c>
    </row>
    <row r="542" customFormat="false" ht="15" hidden="false" customHeight="false" outlineLevel="0" collapsed="false">
      <c r="A542" s="6" t="s">
        <v>228</v>
      </c>
      <c r="B542" s="6" t="s">
        <v>2988</v>
      </c>
      <c r="C542" s="6" t="s">
        <v>2604</v>
      </c>
      <c r="D542" s="6" t="s">
        <v>2989</v>
      </c>
      <c r="E542" s="6" t="s">
        <v>2677</v>
      </c>
      <c r="F542" s="10" t="n">
        <v>93458</v>
      </c>
      <c r="G542" s="10" t="n">
        <v>2000000000</v>
      </c>
      <c r="H542" s="14" t="n">
        <v>0.07</v>
      </c>
      <c r="I542" s="9" t="s">
        <v>2996</v>
      </c>
      <c r="J542" s="6"/>
      <c r="K542" s="9" t="s">
        <v>2645</v>
      </c>
      <c r="L542" s="9" t="s">
        <v>3019</v>
      </c>
    </row>
    <row r="543" customFormat="false" ht="15" hidden="false" customHeight="false" outlineLevel="0" collapsed="false">
      <c r="A543" s="6" t="s">
        <v>228</v>
      </c>
      <c r="B543" s="6" t="s">
        <v>2988</v>
      </c>
      <c r="C543" s="6" t="s">
        <v>2604</v>
      </c>
      <c r="D543" s="6" t="s">
        <v>2989</v>
      </c>
      <c r="E543" s="9" t="s">
        <v>2997</v>
      </c>
      <c r="F543" s="10" t="n">
        <v>202842</v>
      </c>
      <c r="G543" s="10" t="n">
        <v>7140019400</v>
      </c>
      <c r="H543" s="14" t="n">
        <v>0.15</v>
      </c>
      <c r="I543" s="9" t="s">
        <v>2567</v>
      </c>
      <c r="J543" s="6"/>
      <c r="K543" s="9" t="s">
        <v>2645</v>
      </c>
      <c r="L543" s="9" t="s">
        <v>3019</v>
      </c>
    </row>
    <row r="544" customFormat="false" ht="15" hidden="false" customHeight="false" outlineLevel="0" collapsed="false">
      <c r="A544" s="6" t="s">
        <v>228</v>
      </c>
      <c r="B544" s="6" t="s">
        <v>2998</v>
      </c>
      <c r="C544" s="6" t="s">
        <v>2594</v>
      </c>
      <c r="D544" s="6" t="s">
        <v>2989</v>
      </c>
      <c r="E544" s="6" t="s">
        <v>2665</v>
      </c>
      <c r="F544" s="10" t="n">
        <v>89621</v>
      </c>
      <c r="G544" s="10" t="n">
        <v>5500000000</v>
      </c>
      <c r="H544" s="14" t="n">
        <v>0.07</v>
      </c>
      <c r="I544" s="9" t="s">
        <v>2999</v>
      </c>
      <c r="J544" s="6"/>
      <c r="K544" s="9" t="s">
        <v>2645</v>
      </c>
      <c r="L544" s="9" t="s">
        <v>3019</v>
      </c>
    </row>
    <row r="545" customFormat="false" ht="15" hidden="false" customHeight="false" outlineLevel="0" collapsed="false">
      <c r="A545" s="6" t="s">
        <v>228</v>
      </c>
      <c r="B545" s="6" t="s">
        <v>2998</v>
      </c>
      <c r="C545" s="6" t="s">
        <v>2594</v>
      </c>
      <c r="D545" s="6" t="s">
        <v>2989</v>
      </c>
      <c r="E545" s="6" t="s">
        <v>2665</v>
      </c>
      <c r="F545" s="10" t="n">
        <v>32589</v>
      </c>
      <c r="G545" s="10" t="n">
        <v>2000000000</v>
      </c>
      <c r="H545" s="14" t="n">
        <v>0.02</v>
      </c>
      <c r="I545" s="9" t="s">
        <v>3000</v>
      </c>
      <c r="J545" s="6"/>
      <c r="K545" s="9" t="s">
        <v>2645</v>
      </c>
      <c r="L545" s="9" t="s">
        <v>3019</v>
      </c>
    </row>
    <row r="546" customFormat="false" ht="15" hidden="false" customHeight="false" outlineLevel="0" collapsed="false">
      <c r="A546" s="6" t="s">
        <v>228</v>
      </c>
      <c r="B546" s="6" t="s">
        <v>2998</v>
      </c>
      <c r="C546" s="6" t="s">
        <v>2594</v>
      </c>
      <c r="D546" s="6" t="s">
        <v>2989</v>
      </c>
      <c r="E546" s="6" t="s">
        <v>2665</v>
      </c>
      <c r="F546" s="10" t="n">
        <v>65180</v>
      </c>
      <c r="G546" s="10" t="n">
        <v>4000000000</v>
      </c>
      <c r="H546" s="14" t="n">
        <v>0.05</v>
      </c>
      <c r="I546" s="9" t="s">
        <v>3001</v>
      </c>
      <c r="J546" s="6"/>
      <c r="K546" s="9" t="s">
        <v>2645</v>
      </c>
      <c r="L546" s="9" t="s">
        <v>3019</v>
      </c>
    </row>
    <row r="547" customFormat="false" ht="15" hidden="false" customHeight="false" outlineLevel="0" collapsed="false">
      <c r="A547" s="6" t="s">
        <v>228</v>
      </c>
      <c r="B547" s="6" t="s">
        <v>3002</v>
      </c>
      <c r="C547" s="6" t="s">
        <v>2594</v>
      </c>
      <c r="D547" s="6" t="s">
        <v>2989</v>
      </c>
      <c r="E547" s="6" t="s">
        <v>2665</v>
      </c>
      <c r="F547" s="10" t="n">
        <v>79403</v>
      </c>
      <c r="G547" s="10" t="n">
        <v>4000000000</v>
      </c>
      <c r="H547" s="14" t="n">
        <v>0.06</v>
      </c>
      <c r="I547" s="9" t="s">
        <v>3003</v>
      </c>
      <c r="J547" s="6"/>
      <c r="K547" s="9" t="s">
        <v>2645</v>
      </c>
      <c r="L547" s="9" t="s">
        <v>3019</v>
      </c>
    </row>
    <row r="548" customFormat="false" ht="15" hidden="false" customHeight="false" outlineLevel="0" collapsed="false">
      <c r="A548" s="6" t="s">
        <v>228</v>
      </c>
      <c r="B548" s="6" t="s">
        <v>3002</v>
      </c>
      <c r="C548" s="6" t="s">
        <v>2594</v>
      </c>
      <c r="D548" s="6" t="s">
        <v>2989</v>
      </c>
      <c r="E548" s="6" t="s">
        <v>2665</v>
      </c>
      <c r="F548" s="10" t="n">
        <v>59551</v>
      </c>
      <c r="G548" s="10" t="n">
        <v>3000000000</v>
      </c>
      <c r="H548" s="14" t="n">
        <v>0.04</v>
      </c>
      <c r="I548" s="9" t="s">
        <v>2999</v>
      </c>
      <c r="J548" s="6"/>
      <c r="K548" s="9" t="s">
        <v>2645</v>
      </c>
      <c r="L548" s="9" t="s">
        <v>3019</v>
      </c>
    </row>
    <row r="549" customFormat="false" ht="15" hidden="false" customHeight="false" outlineLevel="0" collapsed="false">
      <c r="A549" s="6" t="s">
        <v>228</v>
      </c>
      <c r="B549" s="6" t="s">
        <v>3004</v>
      </c>
      <c r="C549" s="6" t="s">
        <v>2594</v>
      </c>
      <c r="D549" s="6" t="s">
        <v>2989</v>
      </c>
      <c r="E549" s="6" t="s">
        <v>2672</v>
      </c>
      <c r="F549" s="10" t="n">
        <v>2076581</v>
      </c>
      <c r="G549" s="10" t="n">
        <v>65703000000</v>
      </c>
      <c r="H549" s="14" t="n">
        <v>1.53</v>
      </c>
      <c r="I549" s="9" t="s">
        <v>3005</v>
      </c>
      <c r="J549" s="6"/>
      <c r="K549" s="9" t="s">
        <v>2645</v>
      </c>
      <c r="L549" s="9" t="s">
        <v>3019</v>
      </c>
    </row>
    <row r="550" customFormat="false" ht="15" hidden="false" customHeight="false" outlineLevel="0" collapsed="false">
      <c r="A550" s="6" t="s">
        <v>228</v>
      </c>
      <c r="B550" s="6" t="s">
        <v>3004</v>
      </c>
      <c r="C550" s="6" t="s">
        <v>2594</v>
      </c>
      <c r="D550" s="6" t="s">
        <v>2989</v>
      </c>
      <c r="E550" s="6" t="s">
        <v>2672</v>
      </c>
      <c r="F550" s="10" t="n">
        <v>64792</v>
      </c>
      <c r="G550" s="10" t="n">
        <v>2050000000</v>
      </c>
      <c r="H550" s="14" t="n">
        <v>0.05</v>
      </c>
      <c r="I550" s="9" t="s">
        <v>2458</v>
      </c>
      <c r="J550" s="6"/>
      <c r="K550" s="9" t="s">
        <v>2645</v>
      </c>
      <c r="L550" s="9" t="s">
        <v>3019</v>
      </c>
    </row>
    <row r="551" customFormat="false" ht="15" hidden="false" customHeight="false" outlineLevel="0" collapsed="false">
      <c r="A551" s="6" t="s">
        <v>228</v>
      </c>
      <c r="B551" s="6" t="s">
        <v>3004</v>
      </c>
      <c r="C551" s="6" t="s">
        <v>2594</v>
      </c>
      <c r="D551" s="6" t="s">
        <v>2989</v>
      </c>
      <c r="E551" s="6" t="s">
        <v>2672</v>
      </c>
      <c r="F551" s="10" t="n">
        <v>632</v>
      </c>
      <c r="G551" s="10" t="n">
        <v>20000000</v>
      </c>
      <c r="H551" s="14" t="n">
        <v>0</v>
      </c>
      <c r="I551" s="9" t="s">
        <v>2987</v>
      </c>
      <c r="J551" s="6"/>
      <c r="K551" s="9" t="s">
        <v>2645</v>
      </c>
      <c r="L551" s="9" t="s">
        <v>3019</v>
      </c>
    </row>
    <row r="552" customFormat="false" ht="15" hidden="false" customHeight="false" outlineLevel="0" collapsed="false">
      <c r="A552" s="6" t="s">
        <v>228</v>
      </c>
      <c r="B552" s="6" t="s">
        <v>3004</v>
      </c>
      <c r="C552" s="6" t="s">
        <v>2594</v>
      </c>
      <c r="D552" s="6" t="s">
        <v>2989</v>
      </c>
      <c r="E552" s="6" t="s">
        <v>2672</v>
      </c>
      <c r="F552" s="10" t="n">
        <v>37295</v>
      </c>
      <c r="G552" s="10" t="n">
        <v>1180000000</v>
      </c>
      <c r="H552" s="14" t="n">
        <v>0.03</v>
      </c>
      <c r="I552" s="9" t="s">
        <v>2183</v>
      </c>
      <c r="J552" s="6"/>
      <c r="K552" s="9" t="s">
        <v>2645</v>
      </c>
      <c r="L552" s="9" t="s">
        <v>3019</v>
      </c>
    </row>
    <row r="553" customFormat="false" ht="15" hidden="false" customHeight="false" outlineLevel="0" collapsed="false">
      <c r="A553" s="6" t="s">
        <v>228</v>
      </c>
      <c r="B553" s="6" t="s">
        <v>3004</v>
      </c>
      <c r="C553" s="6" t="s">
        <v>2594</v>
      </c>
      <c r="D553" s="6" t="s">
        <v>2989</v>
      </c>
      <c r="E553" s="6" t="s">
        <v>2672</v>
      </c>
      <c r="F553" s="10" t="n">
        <v>6321</v>
      </c>
      <c r="G553" s="10" t="n">
        <v>200000000</v>
      </c>
      <c r="H553" s="14" t="n">
        <v>0</v>
      </c>
      <c r="I553" s="9" t="s">
        <v>2436</v>
      </c>
      <c r="J553" s="6"/>
      <c r="K553" s="9" t="s">
        <v>2645</v>
      </c>
      <c r="L553" s="9" t="s">
        <v>3019</v>
      </c>
    </row>
    <row r="554" customFormat="false" ht="15" hidden="false" customHeight="false" outlineLevel="0" collapsed="false">
      <c r="A554" s="6" t="s">
        <v>228</v>
      </c>
      <c r="B554" s="6" t="s">
        <v>3004</v>
      </c>
      <c r="C554" s="6" t="s">
        <v>2594</v>
      </c>
      <c r="D554" s="6" t="s">
        <v>2989</v>
      </c>
      <c r="E554" s="6" t="s">
        <v>2672</v>
      </c>
      <c r="F554" s="10" t="n">
        <v>31605</v>
      </c>
      <c r="G554" s="10" t="n">
        <v>1000000000</v>
      </c>
      <c r="H554" s="14" t="n">
        <v>0.02</v>
      </c>
      <c r="I554" s="9" t="s">
        <v>3006</v>
      </c>
      <c r="J554" s="6"/>
      <c r="K554" s="9" t="s">
        <v>2645</v>
      </c>
      <c r="L554" s="9" t="s">
        <v>3019</v>
      </c>
    </row>
    <row r="555" customFormat="false" ht="15" hidden="false" customHeight="false" outlineLevel="0" collapsed="false">
      <c r="A555" s="6" t="s">
        <v>228</v>
      </c>
      <c r="B555" s="6" t="s">
        <v>3004</v>
      </c>
      <c r="C555" s="6" t="s">
        <v>2594</v>
      </c>
      <c r="D555" s="6" t="s">
        <v>2989</v>
      </c>
      <c r="E555" s="6" t="s">
        <v>2672</v>
      </c>
      <c r="F555" s="10" t="n">
        <v>1580</v>
      </c>
      <c r="G555" s="10" t="n">
        <v>50000000</v>
      </c>
      <c r="H555" s="14" t="n">
        <v>0</v>
      </c>
      <c r="I555" s="9" t="s">
        <v>2225</v>
      </c>
      <c r="J555" s="6"/>
      <c r="K555" s="9" t="s">
        <v>2645</v>
      </c>
      <c r="L555" s="9" t="s">
        <v>3019</v>
      </c>
    </row>
    <row r="556" customFormat="false" ht="15" hidden="false" customHeight="false" outlineLevel="0" collapsed="false">
      <c r="A556" s="6" t="s">
        <v>228</v>
      </c>
      <c r="B556" s="6" t="s">
        <v>3004</v>
      </c>
      <c r="C556" s="6" t="s">
        <v>2594</v>
      </c>
      <c r="D556" s="6" t="s">
        <v>2989</v>
      </c>
      <c r="E556" s="6" t="s">
        <v>2665</v>
      </c>
      <c r="F556" s="10" t="n">
        <v>73391</v>
      </c>
      <c r="G556" s="10" t="n">
        <v>20000000000</v>
      </c>
      <c r="H556" s="14" t="n">
        <v>0.05</v>
      </c>
      <c r="I556" s="9" t="s">
        <v>3007</v>
      </c>
      <c r="J556" s="6"/>
      <c r="K556" s="9" t="s">
        <v>2645</v>
      </c>
      <c r="L556" s="9" t="s">
        <v>3019</v>
      </c>
    </row>
    <row r="557" customFormat="false" ht="15" hidden="false" customHeight="false" outlineLevel="0" collapsed="false">
      <c r="A557" s="6" t="s">
        <v>228</v>
      </c>
      <c r="B557" s="6" t="s">
        <v>3004</v>
      </c>
      <c r="C557" s="6" t="s">
        <v>2594</v>
      </c>
      <c r="D557" s="6" t="s">
        <v>2989</v>
      </c>
      <c r="E557" s="6" t="s">
        <v>2665</v>
      </c>
      <c r="F557" s="10" t="n">
        <v>73391</v>
      </c>
      <c r="G557" s="10" t="n">
        <v>20000000000</v>
      </c>
      <c r="H557" s="14" t="n">
        <v>0.05</v>
      </c>
      <c r="I557" s="9" t="s">
        <v>3008</v>
      </c>
      <c r="J557" s="6"/>
      <c r="K557" s="9" t="s">
        <v>2645</v>
      </c>
      <c r="L557" s="9" t="s">
        <v>3019</v>
      </c>
    </row>
    <row r="558" customFormat="false" ht="15" hidden="false" customHeight="false" outlineLevel="0" collapsed="false">
      <c r="A558" s="6" t="s">
        <v>228</v>
      </c>
      <c r="B558" s="6" t="s">
        <v>3004</v>
      </c>
      <c r="C558" s="6" t="s">
        <v>2594</v>
      </c>
      <c r="D558" s="6" t="s">
        <v>2989</v>
      </c>
      <c r="E558" s="6" t="s">
        <v>2665</v>
      </c>
      <c r="F558" s="10" t="n">
        <v>36696</v>
      </c>
      <c r="G558" s="10" t="n">
        <v>10000000000</v>
      </c>
      <c r="H558" s="14" t="n">
        <v>0.03</v>
      </c>
      <c r="I558" s="9" t="s">
        <v>3009</v>
      </c>
      <c r="J558" s="6"/>
      <c r="K558" s="9" t="s">
        <v>2645</v>
      </c>
      <c r="L558" s="9" t="s">
        <v>3019</v>
      </c>
    </row>
    <row r="559" customFormat="false" ht="15" hidden="false" customHeight="false" outlineLevel="0" collapsed="false">
      <c r="A559" s="6" t="s">
        <v>228</v>
      </c>
      <c r="B559" s="6" t="s">
        <v>3004</v>
      </c>
      <c r="C559" s="6" t="s">
        <v>2594</v>
      </c>
      <c r="D559" s="6" t="s">
        <v>2989</v>
      </c>
      <c r="E559" s="6" t="s">
        <v>2665</v>
      </c>
      <c r="F559" s="10" t="n">
        <v>36696</v>
      </c>
      <c r="G559" s="10" t="n">
        <v>10000000000</v>
      </c>
      <c r="H559" s="14" t="n">
        <v>0.03</v>
      </c>
      <c r="I559" s="9" t="s">
        <v>2706</v>
      </c>
      <c r="J559" s="6"/>
      <c r="K559" s="9" t="s">
        <v>2645</v>
      </c>
      <c r="L559" s="9" t="s">
        <v>3019</v>
      </c>
    </row>
    <row r="560" customFormat="false" ht="15" hidden="false" customHeight="false" outlineLevel="0" collapsed="false">
      <c r="A560" s="6" t="s">
        <v>228</v>
      </c>
      <c r="B560" s="6" t="s">
        <v>3004</v>
      </c>
      <c r="C560" s="6" t="s">
        <v>2594</v>
      </c>
      <c r="D560" s="6" t="s">
        <v>2989</v>
      </c>
      <c r="E560" s="6" t="s">
        <v>2665</v>
      </c>
      <c r="F560" s="10" t="n">
        <v>36696</v>
      </c>
      <c r="G560" s="10" t="n">
        <v>10000000000</v>
      </c>
      <c r="H560" s="14" t="n">
        <v>0.03</v>
      </c>
      <c r="I560" s="9" t="s">
        <v>3010</v>
      </c>
      <c r="J560" s="6"/>
      <c r="K560" s="9" t="s">
        <v>2645</v>
      </c>
      <c r="L560" s="9" t="s">
        <v>3019</v>
      </c>
    </row>
    <row r="561" customFormat="false" ht="15" hidden="false" customHeight="false" outlineLevel="0" collapsed="false">
      <c r="A561" s="6" t="s">
        <v>228</v>
      </c>
      <c r="B561" s="6" t="s">
        <v>3004</v>
      </c>
      <c r="C561" s="6" t="s">
        <v>2594</v>
      </c>
      <c r="D561" s="6" t="s">
        <v>2989</v>
      </c>
      <c r="E561" s="6" t="s">
        <v>2665</v>
      </c>
      <c r="F561" s="10" t="n">
        <v>100912</v>
      </c>
      <c r="G561" s="10" t="n">
        <v>27500000000</v>
      </c>
      <c r="H561" s="14" t="n">
        <v>0.07</v>
      </c>
      <c r="I561" s="9" t="s">
        <v>3011</v>
      </c>
      <c r="J561" s="6"/>
      <c r="K561" s="9" t="s">
        <v>2645</v>
      </c>
      <c r="L561" s="9" t="s">
        <v>3019</v>
      </c>
    </row>
    <row r="562" customFormat="false" ht="15" hidden="false" customHeight="false" outlineLevel="0" collapsed="false">
      <c r="A562" s="6" t="s">
        <v>228</v>
      </c>
      <c r="B562" s="6" t="s">
        <v>3004</v>
      </c>
      <c r="C562" s="6" t="s">
        <v>2594</v>
      </c>
      <c r="D562" s="6" t="s">
        <v>2989</v>
      </c>
      <c r="E562" s="6" t="s">
        <v>2665</v>
      </c>
      <c r="F562" s="10" t="n">
        <v>146781</v>
      </c>
      <c r="G562" s="10" t="n">
        <v>40000000000</v>
      </c>
      <c r="H562" s="14" t="n">
        <v>0.11</v>
      </c>
      <c r="I562" s="9" t="s">
        <v>3012</v>
      </c>
      <c r="J562" s="6"/>
      <c r="K562" s="9" t="s">
        <v>2645</v>
      </c>
      <c r="L562" s="9" t="s">
        <v>3019</v>
      </c>
    </row>
    <row r="563" customFormat="false" ht="15" hidden="false" customHeight="false" outlineLevel="0" collapsed="false">
      <c r="A563" s="6" t="s">
        <v>228</v>
      </c>
      <c r="B563" s="6" t="s">
        <v>3004</v>
      </c>
      <c r="C563" s="6" t="s">
        <v>2594</v>
      </c>
      <c r="D563" s="6" t="s">
        <v>2989</v>
      </c>
      <c r="E563" s="6" t="s">
        <v>2750</v>
      </c>
      <c r="F563" s="10" t="n">
        <v>528660</v>
      </c>
      <c r="G563" s="10" t="n">
        <v>19000000000</v>
      </c>
      <c r="H563" s="14" t="n">
        <v>0.39</v>
      </c>
      <c r="I563" s="9" t="s">
        <v>3013</v>
      </c>
      <c r="J563" s="6"/>
      <c r="K563" s="9" t="s">
        <v>2645</v>
      </c>
      <c r="L563" s="9" t="s">
        <v>3019</v>
      </c>
    </row>
    <row r="564" customFormat="false" ht="15" hidden="false" customHeight="false" outlineLevel="0" collapsed="false">
      <c r="A564" s="6" t="s">
        <v>228</v>
      </c>
      <c r="B564" s="6" t="s">
        <v>3004</v>
      </c>
      <c r="C564" s="6" t="s">
        <v>2594</v>
      </c>
      <c r="D564" s="6" t="s">
        <v>2989</v>
      </c>
      <c r="E564" s="6" t="s">
        <v>2750</v>
      </c>
      <c r="F564" s="10" t="n">
        <v>141904</v>
      </c>
      <c r="G564" s="10" t="n">
        <v>5100000000</v>
      </c>
      <c r="H564" s="14" t="n">
        <v>0.1</v>
      </c>
      <c r="I564" s="9" t="s">
        <v>3013</v>
      </c>
      <c r="J564" s="6"/>
      <c r="K564" s="9" t="s">
        <v>2645</v>
      </c>
      <c r="L564" s="9" t="s">
        <v>3019</v>
      </c>
    </row>
    <row r="565" customFormat="false" ht="15" hidden="false" customHeight="false" outlineLevel="0" collapsed="false">
      <c r="A565" s="6" t="s">
        <v>228</v>
      </c>
      <c r="B565" s="6" t="s">
        <v>3004</v>
      </c>
      <c r="C565" s="6" t="s">
        <v>2594</v>
      </c>
      <c r="D565" s="6" t="s">
        <v>2989</v>
      </c>
      <c r="E565" s="9" t="s">
        <v>2997</v>
      </c>
      <c r="F565" s="10" t="n">
        <v>489237</v>
      </c>
      <c r="G565" s="10" t="n">
        <v>10000000000</v>
      </c>
      <c r="H565" s="14" t="n">
        <v>0.36</v>
      </c>
      <c r="I565" s="9" t="s">
        <v>2727</v>
      </c>
      <c r="J565" s="6"/>
      <c r="K565" s="9" t="s">
        <v>2645</v>
      </c>
      <c r="L565" s="9" t="s">
        <v>3019</v>
      </c>
    </row>
    <row r="566" customFormat="false" ht="15" hidden="false" customHeight="false" outlineLevel="0" collapsed="false">
      <c r="A566" s="6" t="s">
        <v>228</v>
      </c>
      <c r="B566" s="6" t="s">
        <v>3004</v>
      </c>
      <c r="C566" s="6" t="s">
        <v>2594</v>
      </c>
      <c r="D566" s="6" t="s">
        <v>2989</v>
      </c>
      <c r="E566" s="6" t="s">
        <v>2677</v>
      </c>
      <c r="F566" s="10" t="n">
        <v>35047</v>
      </c>
      <c r="G566" s="10" t="n">
        <v>750000000</v>
      </c>
      <c r="H566" s="14" t="n">
        <v>0.03</v>
      </c>
      <c r="I566" s="9" t="s">
        <v>2996</v>
      </c>
      <c r="J566" s="6"/>
      <c r="K566" s="9" t="s">
        <v>2645</v>
      </c>
      <c r="L566" s="9" t="s">
        <v>3019</v>
      </c>
    </row>
    <row r="567" customFormat="false" ht="15" hidden="false" customHeight="false" outlineLevel="0" collapsed="false">
      <c r="A567" s="6" t="s">
        <v>228</v>
      </c>
      <c r="B567" s="6" t="s">
        <v>3004</v>
      </c>
      <c r="C567" s="6" t="s">
        <v>2594</v>
      </c>
      <c r="D567" s="6" t="s">
        <v>2989</v>
      </c>
      <c r="E567" s="6" t="s">
        <v>2677</v>
      </c>
      <c r="F567" s="10" t="n">
        <v>4515</v>
      </c>
      <c r="G567" s="10" t="n">
        <v>100000000</v>
      </c>
      <c r="H567" s="14" t="n">
        <v>0</v>
      </c>
      <c r="I567" s="9" t="s">
        <v>3014</v>
      </c>
      <c r="J567" s="6"/>
      <c r="K567" s="9" t="s">
        <v>2645</v>
      </c>
      <c r="L567" s="9" t="s">
        <v>3019</v>
      </c>
    </row>
    <row r="568" customFormat="false" ht="15" hidden="false" customHeight="false" outlineLevel="0" collapsed="false">
      <c r="A568" s="6" t="s">
        <v>228</v>
      </c>
      <c r="B568" s="6" t="s">
        <v>3004</v>
      </c>
      <c r="C568" s="6" t="s">
        <v>2594</v>
      </c>
      <c r="D568" s="6" t="s">
        <v>2989</v>
      </c>
      <c r="E568" s="6" t="s">
        <v>2677</v>
      </c>
      <c r="F568" s="10" t="n">
        <v>50942</v>
      </c>
      <c r="G568" s="10" t="n">
        <v>1150000000</v>
      </c>
      <c r="H568" s="14" t="n">
        <v>0.04</v>
      </c>
      <c r="I568" s="9" t="s">
        <v>3015</v>
      </c>
      <c r="J568" s="6"/>
      <c r="K568" s="9" t="s">
        <v>2645</v>
      </c>
      <c r="L568" s="9" t="s">
        <v>3019</v>
      </c>
    </row>
    <row r="569" customFormat="false" ht="15" hidden="false" customHeight="false" outlineLevel="0" collapsed="false">
      <c r="A569" s="6" t="s">
        <v>228</v>
      </c>
      <c r="B569" s="6" t="s">
        <v>3004</v>
      </c>
      <c r="C569" s="6" t="s">
        <v>2594</v>
      </c>
      <c r="D569" s="6" t="s">
        <v>2989</v>
      </c>
      <c r="E569" s="6" t="s">
        <v>2677</v>
      </c>
      <c r="F569" s="10" t="n">
        <v>51522</v>
      </c>
      <c r="G569" s="10" t="n">
        <v>1270000000</v>
      </c>
      <c r="H569" s="14" t="n">
        <v>0.04</v>
      </c>
      <c r="I569" s="9" t="s">
        <v>2860</v>
      </c>
      <c r="J569" s="6"/>
      <c r="K569" s="9" t="s">
        <v>2645</v>
      </c>
      <c r="L569" s="9" t="s">
        <v>3019</v>
      </c>
    </row>
    <row r="570" customFormat="false" ht="15" hidden="false" customHeight="false" outlineLevel="0" collapsed="false">
      <c r="A570" s="6" t="s">
        <v>228</v>
      </c>
      <c r="B570" s="6" t="s">
        <v>3004</v>
      </c>
      <c r="C570" s="6" t="s">
        <v>2594</v>
      </c>
      <c r="D570" s="6" t="s">
        <v>2989</v>
      </c>
      <c r="E570" s="6" t="s">
        <v>2677</v>
      </c>
      <c r="F570" s="10" t="n">
        <v>47431</v>
      </c>
      <c r="G570" s="10" t="n">
        <v>1200000000</v>
      </c>
      <c r="H570" s="14" t="n">
        <v>0.03</v>
      </c>
      <c r="I570" s="9" t="s">
        <v>3016</v>
      </c>
      <c r="J570" s="6"/>
      <c r="K570" s="9" t="s">
        <v>2645</v>
      </c>
      <c r="L570" s="9" t="s">
        <v>3019</v>
      </c>
    </row>
    <row r="571" customFormat="false" ht="15" hidden="false" customHeight="false" outlineLevel="0" collapsed="false">
      <c r="A571" s="6" t="s">
        <v>228</v>
      </c>
      <c r="B571" s="6" t="s">
        <v>3004</v>
      </c>
      <c r="C571" s="6" t="s">
        <v>2594</v>
      </c>
      <c r="D571" s="6" t="s">
        <v>2989</v>
      </c>
      <c r="E571" s="6" t="s">
        <v>2677</v>
      </c>
      <c r="F571" s="10" t="n">
        <v>7226</v>
      </c>
      <c r="G571" s="10" t="n">
        <v>530000000</v>
      </c>
      <c r="H571" s="14" t="n">
        <v>0.01</v>
      </c>
      <c r="I571" s="9" t="s">
        <v>3017</v>
      </c>
      <c r="J571" s="6"/>
      <c r="K571" s="9" t="s">
        <v>2645</v>
      </c>
      <c r="L571" s="9" t="s">
        <v>3019</v>
      </c>
    </row>
    <row r="572" customFormat="false" ht="15" hidden="false" customHeight="false" outlineLevel="0" collapsed="false">
      <c r="A572" s="6" t="s">
        <v>228</v>
      </c>
      <c r="B572" s="6" t="s">
        <v>3004</v>
      </c>
      <c r="C572" s="6" t="s">
        <v>2594</v>
      </c>
      <c r="D572" s="6" t="s">
        <v>2989</v>
      </c>
      <c r="E572" s="6" t="s">
        <v>2919</v>
      </c>
      <c r="F572" s="10" t="n">
        <v>309091</v>
      </c>
      <c r="G572" s="10" t="n">
        <v>13600000000</v>
      </c>
      <c r="H572" s="14" t="n">
        <v>0.23</v>
      </c>
      <c r="I572" s="9" t="s">
        <v>2567</v>
      </c>
      <c r="J572" s="6"/>
      <c r="K572" s="9" t="s">
        <v>2645</v>
      </c>
      <c r="L572" s="9" t="s">
        <v>3019</v>
      </c>
    </row>
    <row r="573" customFormat="false" ht="15" hidden="false" customHeight="false" outlineLevel="0" collapsed="false">
      <c r="A573" s="6" t="s">
        <v>228</v>
      </c>
      <c r="B573" s="6" t="s">
        <v>3004</v>
      </c>
      <c r="C573" s="6" t="s">
        <v>2594</v>
      </c>
      <c r="D573" s="6" t="s">
        <v>2989</v>
      </c>
      <c r="E573" s="6" t="s">
        <v>2919</v>
      </c>
      <c r="F573" s="10" t="n">
        <v>68042</v>
      </c>
      <c r="G573" s="10" t="n">
        <v>3300000000</v>
      </c>
      <c r="H573" s="14" t="n">
        <v>0.05</v>
      </c>
      <c r="I573" s="9" t="s">
        <v>2158</v>
      </c>
      <c r="J573" s="6"/>
      <c r="K573" s="9" t="s">
        <v>2645</v>
      </c>
      <c r="L573" s="9" t="s">
        <v>3019</v>
      </c>
    </row>
    <row r="574" customFormat="false" ht="15" hidden="false" customHeight="false" outlineLevel="0" collapsed="false">
      <c r="A574" s="6" t="s">
        <v>228</v>
      </c>
      <c r="B574" s="6" t="s">
        <v>3004</v>
      </c>
      <c r="C574" s="6" t="s">
        <v>2594</v>
      </c>
      <c r="D574" s="6" t="s">
        <v>2989</v>
      </c>
      <c r="E574" s="6" t="s">
        <v>2919</v>
      </c>
      <c r="F574" s="10" t="n">
        <v>26432</v>
      </c>
      <c r="G574" s="10" t="n">
        <v>1200000000</v>
      </c>
      <c r="H574" s="14" t="n">
        <v>0.02</v>
      </c>
      <c r="I574" s="9" t="s">
        <v>3018</v>
      </c>
      <c r="J574" s="6"/>
      <c r="K574" s="9" t="s">
        <v>2645</v>
      </c>
      <c r="L574" s="9" t="s">
        <v>3019</v>
      </c>
    </row>
    <row r="575" customFormat="false" ht="15" hidden="false" customHeight="false" outlineLevel="0" collapsed="false">
      <c r="A575" s="6" t="s">
        <v>228</v>
      </c>
      <c r="B575" s="6" t="s">
        <v>3004</v>
      </c>
      <c r="C575" s="6" t="s">
        <v>2594</v>
      </c>
      <c r="D575" s="6" t="s">
        <v>2989</v>
      </c>
      <c r="E575" s="6" t="s">
        <v>2919</v>
      </c>
      <c r="F575" s="10" t="n">
        <v>10228</v>
      </c>
      <c r="G575" s="10" t="n">
        <v>450000000</v>
      </c>
      <c r="H575" s="14" t="n">
        <v>0.01</v>
      </c>
      <c r="I575" s="9" t="s">
        <v>2418</v>
      </c>
      <c r="J575" s="6"/>
      <c r="K575" s="9" t="s">
        <v>2645</v>
      </c>
      <c r="L575" s="9" t="s">
        <v>3019</v>
      </c>
    </row>
    <row r="576" customFormat="false" ht="15" hidden="false" customHeight="false" outlineLevel="0" collapsed="false">
      <c r="A576" s="6" t="s">
        <v>228</v>
      </c>
      <c r="B576" s="6" t="s">
        <v>3004</v>
      </c>
      <c r="C576" s="6" t="s">
        <v>2594</v>
      </c>
      <c r="D576" s="6" t="s">
        <v>2989</v>
      </c>
      <c r="E576" s="6" t="s">
        <v>2919</v>
      </c>
      <c r="F576" s="10" t="n">
        <v>24762</v>
      </c>
      <c r="G576" s="10" t="n">
        <v>1300000000</v>
      </c>
      <c r="H576" s="14" t="n">
        <v>0.02</v>
      </c>
      <c r="I576" s="9" t="s">
        <v>2393</v>
      </c>
      <c r="J576" s="6"/>
      <c r="K576" s="9" t="s">
        <v>2645</v>
      </c>
      <c r="L576" s="9" t="s">
        <v>3019</v>
      </c>
    </row>
    <row r="577" customFormat="false" ht="15" hidden="false" customHeight="false" outlineLevel="0" collapsed="false">
      <c r="A577" s="6" t="s">
        <v>228</v>
      </c>
      <c r="B577" s="6" t="s">
        <v>3004</v>
      </c>
      <c r="C577" s="6" t="s">
        <v>2594</v>
      </c>
      <c r="D577" s="6" t="s">
        <v>2989</v>
      </c>
      <c r="E577" s="6" t="s">
        <v>2919</v>
      </c>
      <c r="F577" s="10" t="n">
        <v>2468</v>
      </c>
      <c r="G577" s="10" t="n">
        <v>150000000</v>
      </c>
      <c r="H577" s="14" t="n">
        <v>0</v>
      </c>
      <c r="I577" s="9" t="s">
        <v>2436</v>
      </c>
      <c r="J577" s="6"/>
      <c r="K577" s="9" t="s">
        <v>2645</v>
      </c>
      <c r="L577" s="9" t="s">
        <v>3019</v>
      </c>
    </row>
    <row r="578" customFormat="false" ht="15" hidden="false" customHeight="false" outlineLevel="0" collapsed="false">
      <c r="A578" s="6" t="s">
        <v>228</v>
      </c>
      <c r="B578" s="6" t="s">
        <v>3004</v>
      </c>
      <c r="C578" s="6" t="s">
        <v>2594</v>
      </c>
      <c r="D578" s="6" t="s">
        <v>2989</v>
      </c>
      <c r="E578" s="6" t="s">
        <v>2919</v>
      </c>
      <c r="F578" s="10" t="n">
        <v>344828</v>
      </c>
      <c r="G578" s="10" t="n">
        <v>20000000000</v>
      </c>
      <c r="H578" s="14" t="n">
        <v>0.25</v>
      </c>
      <c r="I578" s="9" t="s">
        <v>2921</v>
      </c>
      <c r="J578" s="6"/>
      <c r="K578" s="9" t="s">
        <v>2645</v>
      </c>
      <c r="L578" s="9" t="s">
        <v>3019</v>
      </c>
    </row>
    <row r="579" customFormat="false" ht="15" hidden="false" customHeight="false" outlineLevel="0" collapsed="false">
      <c r="A579" s="6" t="s">
        <v>228</v>
      </c>
      <c r="B579" s="6" t="s">
        <v>3004</v>
      </c>
      <c r="C579" s="6" t="s">
        <v>2594</v>
      </c>
      <c r="D579" s="6" t="s">
        <v>2989</v>
      </c>
      <c r="E579" s="6" t="s">
        <v>2667</v>
      </c>
      <c r="F579" s="10" t="n">
        <v>160000</v>
      </c>
      <c r="G579" s="10" t="n">
        <v>10000000000</v>
      </c>
      <c r="H579" s="14" t="n">
        <v>0.12</v>
      </c>
      <c r="I579" s="9" t="s">
        <v>2655</v>
      </c>
      <c r="J579" s="6"/>
      <c r="K579" s="9" t="s">
        <v>2645</v>
      </c>
      <c r="L579" s="9" t="s">
        <v>3019</v>
      </c>
    </row>
    <row r="580" customFormat="false" ht="15" hidden="false" customHeight="false" outlineLevel="0" collapsed="false">
      <c r="A580" s="6" t="s">
        <v>228</v>
      </c>
      <c r="B580" s="6" t="s">
        <v>3004</v>
      </c>
      <c r="C580" s="6" t="s">
        <v>2594</v>
      </c>
      <c r="D580" s="6" t="s">
        <v>2989</v>
      </c>
      <c r="E580" s="6" t="s">
        <v>2667</v>
      </c>
      <c r="F580" s="10" t="n">
        <v>598405</v>
      </c>
      <c r="G580" s="10" t="n">
        <v>15000000000</v>
      </c>
      <c r="H580" s="14" t="n">
        <v>0.44</v>
      </c>
      <c r="I580" s="9" t="s">
        <v>2673</v>
      </c>
      <c r="J580" s="6"/>
      <c r="K580" s="9" t="s">
        <v>2645</v>
      </c>
      <c r="L580" s="9" t="s">
        <v>3019</v>
      </c>
    </row>
    <row r="581" customFormat="false" ht="15" hidden="false" customHeight="false" outlineLevel="0" collapsed="false">
      <c r="A581" s="6" t="s">
        <v>228</v>
      </c>
      <c r="B581" s="6" t="s">
        <v>3004</v>
      </c>
      <c r="C581" s="6" t="s">
        <v>2594</v>
      </c>
      <c r="D581" s="6" t="s">
        <v>2989</v>
      </c>
      <c r="E581" s="9" t="s">
        <v>2878</v>
      </c>
      <c r="F581" s="10" t="n">
        <v>169492</v>
      </c>
      <c r="G581" s="10" t="n">
        <v>10000000000</v>
      </c>
      <c r="H581" s="14" t="n">
        <v>0.12</v>
      </c>
      <c r="I581" s="9" t="s">
        <v>2553</v>
      </c>
      <c r="J581" s="6"/>
      <c r="K581" s="9" t="s">
        <v>2645</v>
      </c>
      <c r="L581" s="9" t="s">
        <v>3019</v>
      </c>
    </row>
    <row r="582" customFormat="false" ht="15" hidden="false" customHeight="false" outlineLevel="0" collapsed="false">
      <c r="A582" s="6" t="s">
        <v>365</v>
      </c>
      <c r="B582" s="9" t="s">
        <v>3020</v>
      </c>
      <c r="C582" s="6" t="s">
        <v>2604</v>
      </c>
      <c r="D582" s="6" t="s">
        <v>22</v>
      </c>
      <c r="E582" s="6" t="s">
        <v>2777</v>
      </c>
      <c r="F582" s="10" t="n">
        <v>600000</v>
      </c>
      <c r="G582" s="10" t="n">
        <v>10000000000</v>
      </c>
      <c r="H582" s="14" t="n">
        <v>0.88</v>
      </c>
      <c r="I582" s="9" t="s">
        <v>3021</v>
      </c>
      <c r="J582" s="9" t="s">
        <v>2778</v>
      </c>
      <c r="K582" s="9" t="s">
        <v>3020</v>
      </c>
      <c r="L582" s="9" t="s">
        <v>1944</v>
      </c>
    </row>
    <row r="583" customFormat="false" ht="15" hidden="false" customHeight="false" outlineLevel="0" collapsed="false">
      <c r="A583" s="6" t="s">
        <v>365</v>
      </c>
      <c r="B583" s="9" t="s">
        <v>3020</v>
      </c>
      <c r="C583" s="6" t="s">
        <v>2604</v>
      </c>
      <c r="D583" s="6" t="s">
        <v>22</v>
      </c>
      <c r="E583" s="6" t="s">
        <v>2626</v>
      </c>
      <c r="F583" s="10" t="n">
        <v>1000000</v>
      </c>
      <c r="G583" s="10" t="n">
        <v>23000000000</v>
      </c>
      <c r="H583" s="14" t="n">
        <v>1.47</v>
      </c>
      <c r="I583" s="9" t="s">
        <v>2869</v>
      </c>
      <c r="J583" s="9" t="s">
        <v>1942</v>
      </c>
      <c r="K583" s="9" t="s">
        <v>3020</v>
      </c>
      <c r="L583" s="9" t="s">
        <v>1944</v>
      </c>
    </row>
    <row r="584" customFormat="false" ht="15" hidden="false" customHeight="false" outlineLevel="0" collapsed="false">
      <c r="A584" s="6" t="s">
        <v>365</v>
      </c>
      <c r="B584" s="9" t="s">
        <v>3020</v>
      </c>
      <c r="C584" s="6" t="s">
        <v>2604</v>
      </c>
      <c r="D584" s="6" t="s">
        <v>22</v>
      </c>
      <c r="E584" s="6" t="s">
        <v>2777</v>
      </c>
      <c r="F584" s="10" t="n">
        <v>930000</v>
      </c>
      <c r="G584" s="10" t="n">
        <v>10000000000</v>
      </c>
      <c r="H584" s="14" t="n">
        <v>1.36</v>
      </c>
      <c r="I584" s="9" t="s">
        <v>2783</v>
      </c>
      <c r="J584" s="9" t="s">
        <v>2148</v>
      </c>
      <c r="K584" s="9" t="s">
        <v>3020</v>
      </c>
      <c r="L584" s="9" t="s">
        <v>1944</v>
      </c>
    </row>
    <row r="585" customFormat="false" ht="15" hidden="false" customHeight="false" outlineLevel="0" collapsed="false">
      <c r="A585" s="6" t="s">
        <v>365</v>
      </c>
      <c r="B585" s="9" t="s">
        <v>3020</v>
      </c>
      <c r="C585" s="6" t="s">
        <v>2604</v>
      </c>
      <c r="D585" s="6" t="s">
        <v>22</v>
      </c>
      <c r="E585" s="6" t="s">
        <v>2628</v>
      </c>
      <c r="F585" s="10" t="n">
        <v>934435</v>
      </c>
      <c r="G585" s="10" t="n">
        <v>10000000000</v>
      </c>
      <c r="H585" s="14" t="n">
        <v>1.37</v>
      </c>
      <c r="I585" s="9" t="s">
        <v>3022</v>
      </c>
      <c r="J585" s="9" t="s">
        <v>2211</v>
      </c>
      <c r="K585" s="9" t="s">
        <v>3020</v>
      </c>
      <c r="L585" s="9" t="s">
        <v>1944</v>
      </c>
    </row>
    <row r="586" customFormat="false" ht="15" hidden="false" customHeight="false" outlineLevel="0" collapsed="false">
      <c r="A586" s="6" t="s">
        <v>365</v>
      </c>
      <c r="B586" s="9" t="s">
        <v>3020</v>
      </c>
      <c r="C586" s="6" t="s">
        <v>2604</v>
      </c>
      <c r="D586" s="6" t="s">
        <v>22</v>
      </c>
      <c r="E586" s="6" t="s">
        <v>2777</v>
      </c>
      <c r="F586" s="10" t="n">
        <v>600000</v>
      </c>
      <c r="G586" s="10" t="n">
        <v>10000000000</v>
      </c>
      <c r="H586" s="14" t="n">
        <v>0.88</v>
      </c>
      <c r="I586" s="9" t="s">
        <v>3021</v>
      </c>
      <c r="J586" s="9" t="s">
        <v>2778</v>
      </c>
      <c r="K586" s="9" t="s">
        <v>3020</v>
      </c>
      <c r="L586" s="9" t="s">
        <v>3023</v>
      </c>
    </row>
    <row r="587" customFormat="false" ht="15" hidden="false" customHeight="false" outlineLevel="0" collapsed="false">
      <c r="A587" s="6" t="s">
        <v>365</v>
      </c>
      <c r="B587" s="9" t="s">
        <v>3020</v>
      </c>
      <c r="C587" s="6" t="s">
        <v>2604</v>
      </c>
      <c r="D587" s="6" t="s">
        <v>22</v>
      </c>
      <c r="E587" s="6" t="s">
        <v>2626</v>
      </c>
      <c r="F587" s="10" t="n">
        <v>1000000</v>
      </c>
      <c r="G587" s="10" t="n">
        <v>23000000000</v>
      </c>
      <c r="H587" s="14" t="n">
        <v>1.47</v>
      </c>
      <c r="I587" s="9" t="s">
        <v>2869</v>
      </c>
      <c r="J587" s="9" t="s">
        <v>1942</v>
      </c>
      <c r="K587" s="9" t="s">
        <v>3020</v>
      </c>
      <c r="L587" s="9" t="s">
        <v>3023</v>
      </c>
    </row>
    <row r="588" customFormat="false" ht="15" hidden="false" customHeight="false" outlineLevel="0" collapsed="false">
      <c r="A588" s="6" t="s">
        <v>365</v>
      </c>
      <c r="B588" s="9" t="s">
        <v>3020</v>
      </c>
      <c r="C588" s="6" t="s">
        <v>2604</v>
      </c>
      <c r="D588" s="6" t="s">
        <v>22</v>
      </c>
      <c r="E588" s="6" t="s">
        <v>2777</v>
      </c>
      <c r="F588" s="10" t="n">
        <v>600000</v>
      </c>
      <c r="G588" s="10" t="n">
        <v>10000000000</v>
      </c>
      <c r="H588" s="14" t="n">
        <v>0.88</v>
      </c>
      <c r="I588" s="9" t="s">
        <v>2148</v>
      </c>
      <c r="J588" s="9" t="s">
        <v>3024</v>
      </c>
      <c r="K588" s="9" t="s">
        <v>3020</v>
      </c>
      <c r="L588" s="9" t="s">
        <v>3023</v>
      </c>
    </row>
    <row r="589" customFormat="false" ht="15" hidden="false" customHeight="false" outlineLevel="0" collapsed="false">
      <c r="A589" s="6" t="s">
        <v>365</v>
      </c>
      <c r="B589" s="9" t="s">
        <v>3020</v>
      </c>
      <c r="C589" s="6" t="s">
        <v>2604</v>
      </c>
      <c r="D589" s="6" t="s">
        <v>22</v>
      </c>
      <c r="E589" s="6" t="s">
        <v>2628</v>
      </c>
      <c r="F589" s="10" t="n">
        <v>934435</v>
      </c>
      <c r="G589" s="10" t="n">
        <v>10000000000</v>
      </c>
      <c r="H589" s="14" t="n">
        <v>1.37</v>
      </c>
      <c r="I589" s="9" t="s">
        <v>2211</v>
      </c>
      <c r="J589" s="9" t="s">
        <v>3025</v>
      </c>
      <c r="K589" s="9" t="s">
        <v>3020</v>
      </c>
      <c r="L589" s="9" t="s">
        <v>3023</v>
      </c>
    </row>
    <row r="590" customFormat="false" ht="15" hidden="false" customHeight="false" outlineLevel="0" collapsed="false">
      <c r="A590" s="6" t="s">
        <v>85</v>
      </c>
      <c r="B590" s="6" t="s">
        <v>3026</v>
      </c>
      <c r="C590" s="6" t="s">
        <v>2604</v>
      </c>
      <c r="D590" s="6" t="s">
        <v>2589</v>
      </c>
      <c r="E590" s="6" t="s">
        <v>2950</v>
      </c>
      <c r="F590" s="10" t="n">
        <v>2427185</v>
      </c>
      <c r="G590" s="10" t="n">
        <v>4999998300</v>
      </c>
      <c r="H590" s="14" t="n">
        <v>3.56</v>
      </c>
      <c r="I590" s="9" t="s">
        <v>2453</v>
      </c>
      <c r="J590" s="9" t="s">
        <v>3027</v>
      </c>
      <c r="K590" s="9" t="s">
        <v>2645</v>
      </c>
      <c r="L590" s="9" t="s">
        <v>2013</v>
      </c>
    </row>
    <row r="591" customFormat="false" ht="15" hidden="false" customHeight="false" outlineLevel="0" collapsed="false">
      <c r="A591" s="6" t="s">
        <v>85</v>
      </c>
      <c r="B591" s="6" t="s">
        <v>3026</v>
      </c>
      <c r="C591" s="6" t="s">
        <v>2604</v>
      </c>
      <c r="D591" s="6" t="s">
        <v>2589</v>
      </c>
      <c r="E591" s="6" t="s">
        <v>2665</v>
      </c>
      <c r="F591" s="10" t="n">
        <v>2400000</v>
      </c>
      <c r="G591" s="10" t="n">
        <v>4800000000</v>
      </c>
      <c r="H591" s="14" t="n">
        <v>3.52</v>
      </c>
      <c r="I591" s="9" t="s">
        <v>2996</v>
      </c>
      <c r="J591" s="9" t="s">
        <v>3028</v>
      </c>
      <c r="K591" s="9" t="s">
        <v>2645</v>
      </c>
      <c r="L591" s="9" t="s">
        <v>2013</v>
      </c>
    </row>
    <row r="592" customFormat="false" ht="15" hidden="false" customHeight="false" outlineLevel="0" collapsed="false">
      <c r="A592" s="6" t="s">
        <v>85</v>
      </c>
      <c r="B592" s="6" t="s">
        <v>3026</v>
      </c>
      <c r="C592" s="6" t="s">
        <v>2604</v>
      </c>
      <c r="D592" s="6" t="s">
        <v>2589</v>
      </c>
      <c r="E592" s="6" t="s">
        <v>3029</v>
      </c>
      <c r="F592" s="10" t="n">
        <v>2252278</v>
      </c>
      <c r="G592" s="10" t="n">
        <v>4500000000</v>
      </c>
      <c r="H592" s="14" t="n">
        <v>3.3</v>
      </c>
      <c r="I592" s="9" t="s">
        <v>2492</v>
      </c>
      <c r="J592" s="9" t="s">
        <v>2011</v>
      </c>
      <c r="K592" s="9" t="s">
        <v>2645</v>
      </c>
      <c r="L592" s="9" t="s">
        <v>2013</v>
      </c>
    </row>
    <row r="593" customFormat="false" ht="15" hidden="false" customHeight="false" outlineLevel="0" collapsed="false">
      <c r="A593" s="6" t="s">
        <v>85</v>
      </c>
      <c r="B593" s="6" t="s">
        <v>3030</v>
      </c>
      <c r="C593" s="6" t="s">
        <v>2594</v>
      </c>
      <c r="D593" s="6" t="s">
        <v>2589</v>
      </c>
      <c r="E593" s="6" t="s">
        <v>2950</v>
      </c>
      <c r="F593" s="10" t="n">
        <v>134470</v>
      </c>
      <c r="G593" s="10" t="n">
        <v>500000000</v>
      </c>
      <c r="H593" s="14" t="n">
        <v>0.2</v>
      </c>
      <c r="I593" s="9" t="s">
        <v>2207</v>
      </c>
      <c r="J593" s="9" t="s">
        <v>2510</v>
      </c>
      <c r="K593" s="9" t="s">
        <v>2645</v>
      </c>
      <c r="L593" s="9" t="s">
        <v>2013</v>
      </c>
    </row>
    <row r="594" customFormat="false" ht="15" hidden="false" customHeight="false" outlineLevel="0" collapsed="false">
      <c r="A594" s="6" t="s">
        <v>247</v>
      </c>
      <c r="B594" s="6" t="s">
        <v>3031</v>
      </c>
      <c r="C594" s="6" t="s">
        <v>2594</v>
      </c>
      <c r="D594" s="6" t="s">
        <v>2589</v>
      </c>
      <c r="E594" s="6" t="s">
        <v>2654</v>
      </c>
      <c r="F594" s="10" t="n">
        <v>1668000</v>
      </c>
      <c r="G594" s="10" t="n">
        <v>58300000000</v>
      </c>
      <c r="H594" s="14" t="n">
        <v>2.85</v>
      </c>
      <c r="I594" s="9" t="s">
        <v>2712</v>
      </c>
      <c r="J594" s="9" t="s">
        <v>1926</v>
      </c>
      <c r="K594" s="6" t="s">
        <v>3031</v>
      </c>
      <c r="L594" s="9" t="s">
        <v>1928</v>
      </c>
    </row>
    <row r="595" customFormat="false" ht="15" hidden="false" customHeight="false" outlineLevel="0" collapsed="false">
      <c r="A595" s="6" t="s">
        <v>247</v>
      </c>
      <c r="B595" s="6" t="s">
        <v>3031</v>
      </c>
      <c r="C595" s="6" t="s">
        <v>2594</v>
      </c>
      <c r="D595" s="6" t="s">
        <v>2589</v>
      </c>
      <c r="E595" s="6" t="s">
        <v>2654</v>
      </c>
      <c r="F595" s="10" t="n">
        <v>1668000</v>
      </c>
      <c r="G595" s="10" t="n">
        <v>58300000000</v>
      </c>
      <c r="H595" s="14" t="n">
        <v>2.85</v>
      </c>
      <c r="I595" s="9" t="s">
        <v>2712</v>
      </c>
      <c r="J595" s="9" t="s">
        <v>1926</v>
      </c>
      <c r="K595" s="6" t="s">
        <v>3031</v>
      </c>
      <c r="L595" s="9" t="s">
        <v>3032</v>
      </c>
    </row>
    <row r="596" customFormat="false" ht="15" hidden="false" customHeight="false" outlineLevel="0" collapsed="false">
      <c r="A596" s="6" t="s">
        <v>377</v>
      </c>
      <c r="B596" s="6" t="s">
        <v>2775</v>
      </c>
      <c r="C596" s="6" t="s">
        <v>2594</v>
      </c>
      <c r="D596" s="6" t="s">
        <v>2589</v>
      </c>
      <c r="E596" s="6" t="s">
        <v>2665</v>
      </c>
      <c r="F596" s="10" t="n">
        <v>1340442</v>
      </c>
      <c r="G596" s="10" t="n">
        <v>2051000000</v>
      </c>
      <c r="H596" s="14" t="n">
        <v>3.18</v>
      </c>
      <c r="I596" s="9" t="s">
        <v>3033</v>
      </c>
      <c r="J596" s="6"/>
      <c r="K596" s="9" t="s">
        <v>2645</v>
      </c>
      <c r="L596" s="9" t="s">
        <v>1938</v>
      </c>
    </row>
    <row r="597" customFormat="false" ht="15" hidden="false" customHeight="false" outlineLevel="0" collapsed="false">
      <c r="A597" s="6" t="s">
        <v>377</v>
      </c>
      <c r="B597" s="6" t="s">
        <v>2775</v>
      </c>
      <c r="C597" s="6" t="s">
        <v>2594</v>
      </c>
      <c r="D597" s="6" t="s">
        <v>2589</v>
      </c>
      <c r="E597" s="6" t="s">
        <v>2665</v>
      </c>
      <c r="F597" s="10"/>
      <c r="G597" s="10" t="n">
        <v>3000000000</v>
      </c>
      <c r="H597" s="14" t="n">
        <v>0</v>
      </c>
      <c r="I597" s="9" t="s">
        <v>3034</v>
      </c>
      <c r="J597" s="6"/>
      <c r="K597" s="9" t="s">
        <v>2645</v>
      </c>
      <c r="L597" s="9" t="s">
        <v>1938</v>
      </c>
    </row>
    <row r="598" customFormat="false" ht="15" hidden="false" customHeight="false" outlineLevel="0" collapsed="false">
      <c r="A598" s="6" t="s">
        <v>377</v>
      </c>
      <c r="B598" s="6" t="s">
        <v>2775</v>
      </c>
      <c r="C598" s="6" t="s">
        <v>2594</v>
      </c>
      <c r="D598" s="6" t="s">
        <v>2589</v>
      </c>
      <c r="E598" s="6" t="s">
        <v>2665</v>
      </c>
      <c r="F598" s="10"/>
      <c r="G598" s="10" t="n">
        <v>10000000000</v>
      </c>
      <c r="H598" s="14" t="n">
        <v>0</v>
      </c>
      <c r="I598" s="9" t="s">
        <v>2380</v>
      </c>
      <c r="J598" s="6"/>
      <c r="K598" s="9" t="s">
        <v>2645</v>
      </c>
      <c r="L598" s="9" t="s">
        <v>1938</v>
      </c>
    </row>
    <row r="599" customFormat="false" ht="15" hidden="false" customHeight="false" outlineLevel="0" collapsed="false">
      <c r="A599" s="6" t="s">
        <v>377</v>
      </c>
      <c r="B599" s="6" t="s">
        <v>2775</v>
      </c>
      <c r="C599" s="6" t="s">
        <v>2594</v>
      </c>
      <c r="D599" s="6" t="s">
        <v>2589</v>
      </c>
      <c r="E599" s="6" t="s">
        <v>2665</v>
      </c>
      <c r="F599" s="10"/>
      <c r="G599" s="10" t="n">
        <v>4800000000</v>
      </c>
      <c r="H599" s="14" t="n">
        <v>0</v>
      </c>
      <c r="I599" s="9" t="s">
        <v>2742</v>
      </c>
      <c r="J599" s="6"/>
      <c r="K599" s="9" t="s">
        <v>2645</v>
      </c>
      <c r="L599" s="9" t="s">
        <v>1938</v>
      </c>
    </row>
    <row r="600" customFormat="false" ht="15" hidden="false" customHeight="false" outlineLevel="0" collapsed="false">
      <c r="A600" s="6" t="s">
        <v>377</v>
      </c>
      <c r="B600" s="6" t="s">
        <v>2775</v>
      </c>
      <c r="C600" s="6" t="s">
        <v>2594</v>
      </c>
      <c r="D600" s="6" t="s">
        <v>2589</v>
      </c>
      <c r="E600" s="6" t="s">
        <v>2665</v>
      </c>
      <c r="F600" s="10" t="n">
        <v>8000</v>
      </c>
      <c r="G600" s="10" t="n">
        <v>1000000000</v>
      </c>
      <c r="H600" s="14" t="n">
        <v>0.02</v>
      </c>
      <c r="I600" s="9" t="s">
        <v>2782</v>
      </c>
      <c r="J600" s="6"/>
      <c r="K600" s="6" t="s">
        <v>2594</v>
      </c>
      <c r="L600" s="9" t="s">
        <v>1938</v>
      </c>
    </row>
    <row r="601" customFormat="false" ht="15" hidden="false" customHeight="false" outlineLevel="0" collapsed="false">
      <c r="A601" s="6" t="s">
        <v>377</v>
      </c>
      <c r="B601" s="6" t="s">
        <v>2775</v>
      </c>
      <c r="C601" s="6" t="s">
        <v>2594</v>
      </c>
      <c r="D601" s="6" t="s">
        <v>2589</v>
      </c>
      <c r="E601" s="6" t="s">
        <v>2665</v>
      </c>
      <c r="F601" s="10" t="n">
        <v>8000</v>
      </c>
      <c r="G601" s="10" t="n">
        <v>1000000000</v>
      </c>
      <c r="H601" s="14" t="n">
        <v>0.02</v>
      </c>
      <c r="I601" s="9" t="s">
        <v>2782</v>
      </c>
      <c r="J601" s="6"/>
      <c r="K601" s="6" t="s">
        <v>2594</v>
      </c>
      <c r="L601" s="9" t="s">
        <v>1938</v>
      </c>
    </row>
    <row r="602" customFormat="false" ht="15" hidden="false" customHeight="false" outlineLevel="0" collapsed="false">
      <c r="A602" s="6" t="s">
        <v>377</v>
      </c>
      <c r="B602" s="6" t="s">
        <v>2775</v>
      </c>
      <c r="C602" s="6" t="s">
        <v>2594</v>
      </c>
      <c r="D602" s="6" t="s">
        <v>2589</v>
      </c>
      <c r="E602" s="6" t="s">
        <v>2665</v>
      </c>
      <c r="F602" s="10" t="n">
        <v>8000</v>
      </c>
      <c r="G602" s="10" t="n">
        <v>1000000000</v>
      </c>
      <c r="H602" s="14" t="n">
        <v>0.02</v>
      </c>
      <c r="I602" s="9" t="s">
        <v>2782</v>
      </c>
      <c r="J602" s="6"/>
      <c r="K602" s="6" t="s">
        <v>2594</v>
      </c>
      <c r="L602" s="9" t="s">
        <v>1938</v>
      </c>
    </row>
    <row r="603" customFormat="false" ht="15" hidden="false" customHeight="false" outlineLevel="0" collapsed="false">
      <c r="A603" s="6" t="s">
        <v>377</v>
      </c>
      <c r="B603" s="6" t="s">
        <v>3035</v>
      </c>
      <c r="C603" s="6" t="s">
        <v>2594</v>
      </c>
      <c r="D603" s="6" t="s">
        <v>2589</v>
      </c>
      <c r="E603" s="6" t="s">
        <v>2665</v>
      </c>
      <c r="F603" s="10" t="n">
        <v>1296000</v>
      </c>
      <c r="G603" s="10" t="n">
        <v>7000000000</v>
      </c>
      <c r="H603" s="14" t="n">
        <v>3.07</v>
      </c>
      <c r="I603" s="9" t="s">
        <v>3036</v>
      </c>
      <c r="J603" s="6"/>
      <c r="K603" s="9" t="s">
        <v>2645</v>
      </c>
      <c r="L603" s="9" t="s">
        <v>1938</v>
      </c>
    </row>
    <row r="604" customFormat="false" ht="15" hidden="false" customHeight="false" outlineLevel="0" collapsed="false">
      <c r="A604" s="6" t="s">
        <v>377</v>
      </c>
      <c r="B604" s="6" t="s">
        <v>3035</v>
      </c>
      <c r="C604" s="6" t="s">
        <v>2594</v>
      </c>
      <c r="D604" s="6" t="s">
        <v>2589</v>
      </c>
      <c r="E604" s="6" t="s">
        <v>2665</v>
      </c>
      <c r="F604" s="10"/>
      <c r="G604" s="10" t="n">
        <v>9000000000</v>
      </c>
      <c r="H604" s="14" t="n">
        <v>0</v>
      </c>
      <c r="I604" s="9" t="s">
        <v>2183</v>
      </c>
      <c r="J604" s="6"/>
      <c r="K604" s="9" t="s">
        <v>2645</v>
      </c>
      <c r="L604" s="9" t="s">
        <v>1938</v>
      </c>
    </row>
    <row r="605" customFormat="false" ht="15" hidden="false" customHeight="false" outlineLevel="0" collapsed="false">
      <c r="A605" s="6" t="s">
        <v>377</v>
      </c>
      <c r="B605" s="6" t="s">
        <v>3035</v>
      </c>
      <c r="C605" s="6" t="s">
        <v>2594</v>
      </c>
      <c r="D605" s="6" t="s">
        <v>2589</v>
      </c>
      <c r="E605" s="6" t="s">
        <v>2665</v>
      </c>
      <c r="F605" s="10"/>
      <c r="G605" s="10" t="n">
        <v>7500000000</v>
      </c>
      <c r="H605" s="14" t="n">
        <v>0</v>
      </c>
      <c r="I605" s="9" t="s">
        <v>2333</v>
      </c>
      <c r="J605" s="6"/>
      <c r="K605" s="9" t="s">
        <v>2645</v>
      </c>
      <c r="L605" s="9" t="s">
        <v>1938</v>
      </c>
    </row>
    <row r="606" customFormat="false" ht="15" hidden="false" customHeight="false" outlineLevel="0" collapsed="false">
      <c r="A606" s="6" t="s">
        <v>377</v>
      </c>
      <c r="B606" s="6" t="s">
        <v>3037</v>
      </c>
      <c r="C606" s="6" t="s">
        <v>2604</v>
      </c>
      <c r="D606" s="6" t="s">
        <v>2589</v>
      </c>
      <c r="E606" s="6" t="s">
        <v>2665</v>
      </c>
      <c r="F606" s="10" t="n">
        <v>347827</v>
      </c>
      <c r="G606" s="10" t="n">
        <v>8000000000</v>
      </c>
      <c r="H606" s="14" t="n">
        <v>0.82</v>
      </c>
      <c r="I606" s="9" t="s">
        <v>2871</v>
      </c>
      <c r="J606" s="6"/>
      <c r="K606" s="9" t="s">
        <v>2645</v>
      </c>
      <c r="L606" s="9" t="s">
        <v>1938</v>
      </c>
    </row>
    <row r="607" customFormat="false" ht="15" hidden="false" customHeight="false" outlineLevel="0" collapsed="false">
      <c r="A607" s="6" t="s">
        <v>377</v>
      </c>
      <c r="B607" s="6" t="s">
        <v>2775</v>
      </c>
      <c r="C607" s="6" t="s">
        <v>2594</v>
      </c>
      <c r="D607" s="6" t="s">
        <v>2589</v>
      </c>
      <c r="E607" s="6" t="s">
        <v>2665</v>
      </c>
      <c r="F607" s="10" t="n">
        <v>1340442</v>
      </c>
      <c r="G607" s="10" t="n">
        <v>2051000000</v>
      </c>
      <c r="H607" s="14" t="n">
        <v>3.18</v>
      </c>
      <c r="I607" s="9" t="s">
        <v>3033</v>
      </c>
      <c r="J607" s="6"/>
      <c r="K607" s="9" t="s">
        <v>2645</v>
      </c>
      <c r="L607" s="9" t="s">
        <v>3038</v>
      </c>
    </row>
    <row r="608" customFormat="false" ht="15" hidden="false" customHeight="false" outlineLevel="0" collapsed="false">
      <c r="A608" s="6" t="s">
        <v>377</v>
      </c>
      <c r="B608" s="6" t="s">
        <v>2775</v>
      </c>
      <c r="C608" s="6" t="s">
        <v>2594</v>
      </c>
      <c r="D608" s="6" t="s">
        <v>2589</v>
      </c>
      <c r="E608" s="6" t="s">
        <v>2665</v>
      </c>
      <c r="F608" s="10"/>
      <c r="G608" s="10" t="n">
        <v>3000000000</v>
      </c>
      <c r="H608" s="14" t="n">
        <v>0</v>
      </c>
      <c r="I608" s="9" t="s">
        <v>3034</v>
      </c>
      <c r="J608" s="6"/>
      <c r="K608" s="9" t="s">
        <v>2645</v>
      </c>
      <c r="L608" s="9" t="s">
        <v>3038</v>
      </c>
    </row>
    <row r="609" customFormat="false" ht="15" hidden="false" customHeight="false" outlineLevel="0" collapsed="false">
      <c r="A609" s="6" t="s">
        <v>377</v>
      </c>
      <c r="B609" s="6" t="s">
        <v>2775</v>
      </c>
      <c r="C609" s="6" t="s">
        <v>2594</v>
      </c>
      <c r="D609" s="6" t="s">
        <v>2589</v>
      </c>
      <c r="E609" s="6" t="s">
        <v>2665</v>
      </c>
      <c r="F609" s="10"/>
      <c r="G609" s="10" t="n">
        <v>10000000000</v>
      </c>
      <c r="H609" s="14" t="n">
        <v>0</v>
      </c>
      <c r="I609" s="9" t="s">
        <v>2380</v>
      </c>
      <c r="J609" s="6"/>
      <c r="K609" s="9" t="s">
        <v>2645</v>
      </c>
      <c r="L609" s="9" t="s">
        <v>3038</v>
      </c>
    </row>
    <row r="610" customFormat="false" ht="15" hidden="false" customHeight="false" outlineLevel="0" collapsed="false">
      <c r="A610" s="6" t="s">
        <v>377</v>
      </c>
      <c r="B610" s="6" t="s">
        <v>2775</v>
      </c>
      <c r="C610" s="6" t="s">
        <v>2594</v>
      </c>
      <c r="D610" s="6" t="s">
        <v>2589</v>
      </c>
      <c r="E610" s="6" t="s">
        <v>2665</v>
      </c>
      <c r="F610" s="10"/>
      <c r="G610" s="10" t="n">
        <v>4800000000</v>
      </c>
      <c r="H610" s="14" t="n">
        <v>0</v>
      </c>
      <c r="I610" s="9" t="s">
        <v>2742</v>
      </c>
      <c r="J610" s="6"/>
      <c r="K610" s="9" t="s">
        <v>2645</v>
      </c>
      <c r="L610" s="9" t="s">
        <v>3038</v>
      </c>
    </row>
    <row r="611" customFormat="false" ht="15" hidden="false" customHeight="false" outlineLevel="0" collapsed="false">
      <c r="A611" s="6" t="s">
        <v>377</v>
      </c>
      <c r="B611" s="6" t="s">
        <v>2775</v>
      </c>
      <c r="C611" s="6" t="s">
        <v>2594</v>
      </c>
      <c r="D611" s="6" t="s">
        <v>2589</v>
      </c>
      <c r="E611" s="6" t="s">
        <v>2665</v>
      </c>
      <c r="F611" s="10" t="n">
        <v>8000</v>
      </c>
      <c r="G611" s="10" t="n">
        <v>1000000000</v>
      </c>
      <c r="H611" s="14" t="n">
        <v>0.02</v>
      </c>
      <c r="I611" s="9" t="s">
        <v>2782</v>
      </c>
      <c r="J611" s="6"/>
      <c r="K611" s="6" t="s">
        <v>2594</v>
      </c>
      <c r="L611" s="9" t="s">
        <v>3038</v>
      </c>
    </row>
    <row r="612" customFormat="false" ht="15" hidden="false" customHeight="false" outlineLevel="0" collapsed="false">
      <c r="A612" s="6" t="s">
        <v>377</v>
      </c>
      <c r="B612" s="6" t="s">
        <v>2775</v>
      </c>
      <c r="C612" s="6" t="s">
        <v>2594</v>
      </c>
      <c r="D612" s="6" t="s">
        <v>2589</v>
      </c>
      <c r="E612" s="6" t="s">
        <v>2665</v>
      </c>
      <c r="F612" s="10" t="n">
        <v>8000</v>
      </c>
      <c r="G612" s="10" t="n">
        <v>1000000000</v>
      </c>
      <c r="H612" s="14" t="n">
        <v>0.02</v>
      </c>
      <c r="I612" s="9" t="s">
        <v>2782</v>
      </c>
      <c r="J612" s="6"/>
      <c r="K612" s="6" t="s">
        <v>2594</v>
      </c>
      <c r="L612" s="9" t="s">
        <v>3038</v>
      </c>
    </row>
    <row r="613" customFormat="false" ht="15" hidden="false" customHeight="false" outlineLevel="0" collapsed="false">
      <c r="A613" s="6" t="s">
        <v>377</v>
      </c>
      <c r="B613" s="6" t="s">
        <v>2775</v>
      </c>
      <c r="C613" s="6" t="s">
        <v>2594</v>
      </c>
      <c r="D613" s="6" t="s">
        <v>2589</v>
      </c>
      <c r="E613" s="6" t="s">
        <v>2665</v>
      </c>
      <c r="F613" s="10" t="n">
        <v>8000</v>
      </c>
      <c r="G613" s="10" t="n">
        <v>1000000000</v>
      </c>
      <c r="H613" s="14" t="n">
        <v>0.02</v>
      </c>
      <c r="I613" s="9" t="s">
        <v>2782</v>
      </c>
      <c r="J613" s="6"/>
      <c r="K613" s="6" t="s">
        <v>2594</v>
      </c>
      <c r="L613" s="9" t="s">
        <v>3038</v>
      </c>
    </row>
    <row r="614" customFormat="false" ht="15" hidden="false" customHeight="false" outlineLevel="0" collapsed="false">
      <c r="A614" s="6" t="s">
        <v>377</v>
      </c>
      <c r="B614" s="6" t="s">
        <v>3035</v>
      </c>
      <c r="C614" s="6" t="s">
        <v>2594</v>
      </c>
      <c r="D614" s="6" t="s">
        <v>2589</v>
      </c>
      <c r="E614" s="6" t="s">
        <v>2665</v>
      </c>
      <c r="F614" s="10" t="n">
        <v>1296000</v>
      </c>
      <c r="G614" s="10" t="n">
        <v>7000000000</v>
      </c>
      <c r="H614" s="14" t="n">
        <v>3.07</v>
      </c>
      <c r="I614" s="9" t="s">
        <v>3036</v>
      </c>
      <c r="J614" s="6"/>
      <c r="K614" s="9" t="s">
        <v>2645</v>
      </c>
      <c r="L614" s="9" t="s">
        <v>3038</v>
      </c>
    </row>
    <row r="615" customFormat="false" ht="15" hidden="false" customHeight="false" outlineLevel="0" collapsed="false">
      <c r="A615" s="6" t="s">
        <v>377</v>
      </c>
      <c r="B615" s="6" t="s">
        <v>3035</v>
      </c>
      <c r="C615" s="6" t="s">
        <v>2594</v>
      </c>
      <c r="D615" s="6" t="s">
        <v>2589</v>
      </c>
      <c r="E615" s="6" t="s">
        <v>2665</v>
      </c>
      <c r="F615" s="10"/>
      <c r="G615" s="10" t="n">
        <v>9000000000</v>
      </c>
      <c r="H615" s="14" t="n">
        <v>0</v>
      </c>
      <c r="I615" s="9" t="s">
        <v>2183</v>
      </c>
      <c r="J615" s="6"/>
      <c r="K615" s="9" t="s">
        <v>2645</v>
      </c>
      <c r="L615" s="9" t="s">
        <v>3038</v>
      </c>
    </row>
    <row r="616" customFormat="false" ht="15" hidden="false" customHeight="false" outlineLevel="0" collapsed="false">
      <c r="A616" s="6" t="s">
        <v>377</v>
      </c>
      <c r="B616" s="6" t="s">
        <v>3035</v>
      </c>
      <c r="C616" s="6" t="s">
        <v>2594</v>
      </c>
      <c r="D616" s="6" t="s">
        <v>2589</v>
      </c>
      <c r="E616" s="6" t="s">
        <v>2665</v>
      </c>
      <c r="F616" s="10"/>
      <c r="G616" s="10" t="n">
        <v>7500000000</v>
      </c>
      <c r="H616" s="14" t="n">
        <v>0</v>
      </c>
      <c r="I616" s="9" t="s">
        <v>2333</v>
      </c>
      <c r="J616" s="6"/>
      <c r="K616" s="9" t="s">
        <v>2645</v>
      </c>
      <c r="L616" s="9" t="s">
        <v>3038</v>
      </c>
    </row>
    <row r="617" customFormat="false" ht="15" hidden="false" customHeight="false" outlineLevel="0" collapsed="false">
      <c r="A617" s="6" t="s">
        <v>377</v>
      </c>
      <c r="B617" s="6" t="s">
        <v>3037</v>
      </c>
      <c r="C617" s="6" t="s">
        <v>2604</v>
      </c>
      <c r="D617" s="6" t="s">
        <v>2589</v>
      </c>
      <c r="E617" s="6" t="s">
        <v>2665</v>
      </c>
      <c r="F617" s="10" t="n">
        <v>347827</v>
      </c>
      <c r="G617" s="10" t="n">
        <v>8000000000</v>
      </c>
      <c r="H617" s="14" t="n">
        <v>0.82</v>
      </c>
      <c r="I617" s="9" t="s">
        <v>2871</v>
      </c>
      <c r="J617" s="6"/>
      <c r="K617" s="9" t="s">
        <v>2645</v>
      </c>
      <c r="L617" s="9" t="s">
        <v>3038</v>
      </c>
    </row>
    <row r="618" customFormat="false" ht="15" hidden="false" customHeight="false" outlineLevel="0" collapsed="false">
      <c r="A618" s="6" t="s">
        <v>402</v>
      </c>
      <c r="B618" s="6" t="s">
        <v>3039</v>
      </c>
      <c r="C618" s="6" t="s">
        <v>2604</v>
      </c>
      <c r="D618" s="6" t="s">
        <v>2589</v>
      </c>
      <c r="E618" s="6" t="s">
        <v>2750</v>
      </c>
      <c r="F618" s="10" t="n">
        <v>243665</v>
      </c>
      <c r="G618" s="10" t="n">
        <v>5000000000</v>
      </c>
      <c r="H618" s="14" t="n">
        <v>0.47</v>
      </c>
      <c r="I618" s="9" t="s">
        <v>3040</v>
      </c>
      <c r="J618" s="6"/>
      <c r="K618" s="9" t="s">
        <v>2645</v>
      </c>
      <c r="L618" s="9" t="s">
        <v>1962</v>
      </c>
    </row>
    <row r="619" customFormat="false" ht="15" hidden="false" customHeight="false" outlineLevel="0" collapsed="false">
      <c r="A619" s="6" t="s">
        <v>402</v>
      </c>
      <c r="B619" s="6" t="s">
        <v>3039</v>
      </c>
      <c r="C619" s="6" t="s">
        <v>2604</v>
      </c>
      <c r="D619" s="6" t="s">
        <v>2589</v>
      </c>
      <c r="E619" s="6" t="s">
        <v>2750</v>
      </c>
      <c r="F619" s="10" t="n">
        <v>91576</v>
      </c>
      <c r="G619" s="10"/>
      <c r="H619" s="14" t="n">
        <v>0.18</v>
      </c>
      <c r="I619" s="9" t="s">
        <v>3041</v>
      </c>
      <c r="J619" s="6"/>
      <c r="K619" s="6"/>
      <c r="L619" s="9" t="s">
        <v>1962</v>
      </c>
    </row>
    <row r="620" customFormat="false" ht="15" hidden="false" customHeight="false" outlineLevel="0" collapsed="false">
      <c r="A620" s="6" t="s">
        <v>402</v>
      </c>
      <c r="B620" s="6" t="s">
        <v>3039</v>
      </c>
      <c r="C620" s="6" t="s">
        <v>2604</v>
      </c>
      <c r="D620" s="6" t="s">
        <v>2589</v>
      </c>
      <c r="E620" s="6" t="s">
        <v>2750</v>
      </c>
      <c r="F620" s="10" t="n">
        <v>-140309</v>
      </c>
      <c r="G620" s="10"/>
      <c r="H620" s="14" t="n">
        <v>-0.27</v>
      </c>
      <c r="I620" s="9" t="s">
        <v>3042</v>
      </c>
      <c r="J620" s="6"/>
      <c r="K620" s="6"/>
      <c r="L620" s="9" t="s">
        <v>1962</v>
      </c>
    </row>
    <row r="621" customFormat="false" ht="15" hidden="false" customHeight="false" outlineLevel="0" collapsed="false">
      <c r="A621" s="6" t="s">
        <v>402</v>
      </c>
      <c r="B621" s="6" t="s">
        <v>3039</v>
      </c>
      <c r="C621" s="6" t="s">
        <v>2604</v>
      </c>
      <c r="D621" s="6" t="s">
        <v>2589</v>
      </c>
      <c r="E621" s="6" t="s">
        <v>2750</v>
      </c>
      <c r="F621" s="10" t="n">
        <v>-194932</v>
      </c>
      <c r="G621" s="10"/>
      <c r="H621" s="14" t="n">
        <v>-0.37</v>
      </c>
      <c r="I621" s="9" t="s">
        <v>3043</v>
      </c>
      <c r="J621" s="6"/>
      <c r="K621" s="6"/>
      <c r="L621" s="9" t="s">
        <v>1962</v>
      </c>
    </row>
    <row r="622" customFormat="false" ht="15" hidden="false" customHeight="false" outlineLevel="0" collapsed="false">
      <c r="A622" s="6" t="s">
        <v>402</v>
      </c>
      <c r="B622" s="6" t="s">
        <v>3039</v>
      </c>
      <c r="C622" s="6" t="s">
        <v>2604</v>
      </c>
      <c r="D622" s="6" t="s">
        <v>2589</v>
      </c>
      <c r="E622" s="6" t="s">
        <v>2750</v>
      </c>
      <c r="F622" s="10" t="n">
        <v>345623</v>
      </c>
      <c r="G622" s="10"/>
      <c r="H622" s="14" t="n">
        <v>0.66</v>
      </c>
      <c r="I622" s="9" t="s">
        <v>3043</v>
      </c>
      <c r="J622" s="6"/>
      <c r="K622" s="6"/>
      <c r="L622" s="9" t="s">
        <v>1962</v>
      </c>
    </row>
    <row r="623" customFormat="false" ht="15" hidden="false" customHeight="false" outlineLevel="0" collapsed="false">
      <c r="A623" s="6" t="s">
        <v>402</v>
      </c>
      <c r="B623" s="6" t="s">
        <v>3039</v>
      </c>
      <c r="C623" s="6" t="s">
        <v>2604</v>
      </c>
      <c r="D623" s="6" t="s">
        <v>2589</v>
      </c>
      <c r="E623" s="6" t="s">
        <v>2750</v>
      </c>
      <c r="F623" s="10" t="n">
        <v>100000</v>
      </c>
      <c r="G623" s="10"/>
      <c r="H623" s="14" t="n">
        <v>0.19</v>
      </c>
      <c r="I623" s="9" t="s">
        <v>3044</v>
      </c>
      <c r="J623" s="6"/>
      <c r="K623" s="6"/>
      <c r="L623" s="9" t="s">
        <v>1962</v>
      </c>
    </row>
    <row r="624" customFormat="false" ht="15" hidden="false" customHeight="false" outlineLevel="0" collapsed="false">
      <c r="A624" s="6" t="s">
        <v>402</v>
      </c>
      <c r="B624" s="6" t="s">
        <v>3039</v>
      </c>
      <c r="C624" s="6" t="s">
        <v>2604</v>
      </c>
      <c r="D624" s="6" t="s">
        <v>2589</v>
      </c>
      <c r="E624" s="6" t="s">
        <v>2750</v>
      </c>
      <c r="F624" s="10" t="n">
        <v>-153609</v>
      </c>
      <c r="G624" s="10"/>
      <c r="H624" s="14" t="n">
        <v>-0.29</v>
      </c>
      <c r="I624" s="9" t="s">
        <v>3045</v>
      </c>
      <c r="J624" s="6"/>
      <c r="K624" s="6"/>
      <c r="L624" s="9" t="s">
        <v>1962</v>
      </c>
    </row>
    <row r="625" customFormat="false" ht="15" hidden="false" customHeight="false" outlineLevel="0" collapsed="false">
      <c r="A625" s="6" t="s">
        <v>402</v>
      </c>
      <c r="B625" s="6" t="s">
        <v>3039</v>
      </c>
      <c r="C625" s="6" t="s">
        <v>2604</v>
      </c>
      <c r="D625" s="6" t="s">
        <v>2589</v>
      </c>
      <c r="E625" s="9" t="s">
        <v>3046</v>
      </c>
      <c r="F625" s="10" t="n">
        <v>250000</v>
      </c>
      <c r="G625" s="10" t="n">
        <v>7000000000</v>
      </c>
      <c r="H625" s="14" t="n">
        <v>0.48</v>
      </c>
      <c r="I625" s="9" t="s">
        <v>3047</v>
      </c>
      <c r="J625" s="6"/>
      <c r="K625" s="9" t="s">
        <v>2645</v>
      </c>
      <c r="L625" s="9" t="s">
        <v>1962</v>
      </c>
    </row>
    <row r="626" customFormat="false" ht="15" hidden="false" customHeight="false" outlineLevel="0" collapsed="false">
      <c r="A626" s="6" t="s">
        <v>402</v>
      </c>
      <c r="B626" s="6" t="s">
        <v>3039</v>
      </c>
      <c r="C626" s="6" t="s">
        <v>2604</v>
      </c>
      <c r="D626" s="6" t="s">
        <v>2589</v>
      </c>
      <c r="E626" s="9" t="s">
        <v>3046</v>
      </c>
      <c r="F626" s="10" t="n">
        <v>300000</v>
      </c>
      <c r="G626" s="10"/>
      <c r="H626" s="14" t="n">
        <v>0.57</v>
      </c>
      <c r="I626" s="9" t="s">
        <v>3048</v>
      </c>
      <c r="J626" s="6"/>
      <c r="K626" s="6"/>
      <c r="L626" s="9" t="s">
        <v>1962</v>
      </c>
    </row>
    <row r="627" customFormat="false" ht="15" hidden="false" customHeight="false" outlineLevel="0" collapsed="false">
      <c r="A627" s="6" t="s">
        <v>402</v>
      </c>
      <c r="B627" s="6" t="s">
        <v>3039</v>
      </c>
      <c r="C627" s="6" t="s">
        <v>2604</v>
      </c>
      <c r="D627" s="6" t="s">
        <v>2589</v>
      </c>
      <c r="E627" s="9" t="s">
        <v>3046</v>
      </c>
      <c r="F627" s="10" t="n">
        <v>60000</v>
      </c>
      <c r="G627" s="10"/>
      <c r="H627" s="14" t="n">
        <v>0.11</v>
      </c>
      <c r="I627" s="9" t="s">
        <v>3049</v>
      </c>
      <c r="J627" s="6"/>
      <c r="K627" s="6"/>
      <c r="L627" s="9" t="s">
        <v>1962</v>
      </c>
    </row>
    <row r="628" customFormat="false" ht="15" hidden="false" customHeight="false" outlineLevel="0" collapsed="false">
      <c r="A628" s="6" t="s">
        <v>402</v>
      </c>
      <c r="B628" s="6" t="s">
        <v>3039</v>
      </c>
      <c r="C628" s="6" t="s">
        <v>2604</v>
      </c>
      <c r="D628" s="6" t="s">
        <v>2589</v>
      </c>
      <c r="E628" s="9" t="s">
        <v>3046</v>
      </c>
      <c r="F628" s="10" t="n">
        <v>190000</v>
      </c>
      <c r="G628" s="10"/>
      <c r="H628" s="14" t="n">
        <v>0.36</v>
      </c>
      <c r="I628" s="9" t="s">
        <v>3050</v>
      </c>
      <c r="J628" s="6"/>
      <c r="K628" s="6"/>
      <c r="L628" s="9" t="s">
        <v>1962</v>
      </c>
    </row>
    <row r="629" customFormat="false" ht="15" hidden="false" customHeight="false" outlineLevel="0" collapsed="false">
      <c r="A629" s="6" t="s">
        <v>402</v>
      </c>
      <c r="B629" s="6" t="s">
        <v>3039</v>
      </c>
      <c r="C629" s="6" t="s">
        <v>2604</v>
      </c>
      <c r="D629" s="6" t="s">
        <v>2589</v>
      </c>
      <c r="E629" s="6" t="s">
        <v>217</v>
      </c>
      <c r="F629" s="10" t="n">
        <v>183151</v>
      </c>
      <c r="G629" s="10" t="n">
        <v>3000000000</v>
      </c>
      <c r="H629" s="14" t="n">
        <v>0.35</v>
      </c>
      <c r="I629" s="9" t="s">
        <v>3051</v>
      </c>
      <c r="J629" s="6"/>
      <c r="K629" s="9" t="s">
        <v>2645</v>
      </c>
      <c r="L629" s="9" t="s">
        <v>1962</v>
      </c>
    </row>
    <row r="630" customFormat="false" ht="15" hidden="false" customHeight="false" outlineLevel="0" collapsed="false">
      <c r="A630" s="6" t="s">
        <v>402</v>
      </c>
      <c r="B630" s="6" t="s">
        <v>3039</v>
      </c>
      <c r="C630" s="6" t="s">
        <v>2604</v>
      </c>
      <c r="D630" s="6" t="s">
        <v>2589</v>
      </c>
      <c r="E630" s="6" t="s">
        <v>3052</v>
      </c>
      <c r="F630" s="10" t="n">
        <v>280663</v>
      </c>
      <c r="G630" s="10" t="n">
        <v>5000000000</v>
      </c>
      <c r="H630" s="14" t="n">
        <v>0.54</v>
      </c>
      <c r="I630" s="9" t="s">
        <v>3053</v>
      </c>
      <c r="J630" s="6"/>
      <c r="K630" s="9" t="s">
        <v>2645</v>
      </c>
      <c r="L630" s="9" t="s">
        <v>1962</v>
      </c>
    </row>
    <row r="631" customFormat="false" ht="15" hidden="false" customHeight="false" outlineLevel="0" collapsed="false">
      <c r="A631" s="6" t="s">
        <v>402</v>
      </c>
      <c r="B631" s="6" t="s">
        <v>3054</v>
      </c>
      <c r="C631" s="6" t="s">
        <v>2594</v>
      </c>
      <c r="D631" s="6" t="s">
        <v>2589</v>
      </c>
      <c r="E631" s="6" t="s">
        <v>2750</v>
      </c>
      <c r="F631" s="10" t="n">
        <v>176134</v>
      </c>
      <c r="G631" s="10" t="n">
        <v>4999930900</v>
      </c>
      <c r="H631" s="14" t="n">
        <v>0.34</v>
      </c>
      <c r="I631" s="9" t="s">
        <v>3055</v>
      </c>
      <c r="J631" s="6"/>
      <c r="K631" s="9" t="s">
        <v>2645</v>
      </c>
      <c r="L631" s="9" t="s">
        <v>1962</v>
      </c>
    </row>
    <row r="632" customFormat="false" ht="15" hidden="false" customHeight="false" outlineLevel="0" collapsed="false">
      <c r="A632" s="6" t="s">
        <v>402</v>
      </c>
      <c r="B632" s="6" t="s">
        <v>3054</v>
      </c>
      <c r="C632" s="6" t="s">
        <v>2594</v>
      </c>
      <c r="D632" s="6" t="s">
        <v>2589</v>
      </c>
      <c r="E632" s="6" t="s">
        <v>2750</v>
      </c>
      <c r="F632" s="10" t="n">
        <v>-44034</v>
      </c>
      <c r="G632" s="10"/>
      <c r="H632" s="14" t="n">
        <v>-0.08</v>
      </c>
      <c r="I632" s="9" t="s">
        <v>3056</v>
      </c>
      <c r="J632" s="6"/>
      <c r="K632" s="6"/>
      <c r="L632" s="9" t="s">
        <v>1962</v>
      </c>
    </row>
    <row r="633" customFormat="false" ht="15" hidden="false" customHeight="false" outlineLevel="0" collapsed="false">
      <c r="A633" s="6" t="s">
        <v>402</v>
      </c>
      <c r="B633" s="6" t="s">
        <v>3054</v>
      </c>
      <c r="C633" s="6" t="s">
        <v>2594</v>
      </c>
      <c r="D633" s="6" t="s">
        <v>2589</v>
      </c>
      <c r="E633" s="6" t="s">
        <v>2750</v>
      </c>
      <c r="F633" s="10" t="n">
        <v>4961</v>
      </c>
      <c r="G633" s="10"/>
      <c r="H633" s="14" t="n">
        <v>0.01</v>
      </c>
      <c r="I633" s="9" t="s">
        <v>3057</v>
      </c>
      <c r="J633" s="6"/>
      <c r="K633" s="6"/>
      <c r="L633" s="9" t="s">
        <v>1962</v>
      </c>
    </row>
    <row r="634" customFormat="false" ht="15" hidden="false" customHeight="false" outlineLevel="0" collapsed="false">
      <c r="A634" s="6" t="s">
        <v>402</v>
      </c>
      <c r="B634" s="6" t="s">
        <v>3054</v>
      </c>
      <c r="C634" s="6" t="s">
        <v>2594</v>
      </c>
      <c r="D634" s="6" t="s">
        <v>2589</v>
      </c>
      <c r="E634" s="6" t="s">
        <v>2750</v>
      </c>
      <c r="F634" s="10" t="n">
        <v>57018</v>
      </c>
      <c r="G634" s="10"/>
      <c r="H634" s="14" t="n">
        <v>0.11</v>
      </c>
      <c r="I634" s="9" t="s">
        <v>3058</v>
      </c>
      <c r="J634" s="6"/>
      <c r="K634" s="6"/>
      <c r="L634" s="9" t="s">
        <v>1962</v>
      </c>
    </row>
    <row r="635" customFormat="false" ht="15" hidden="false" customHeight="false" outlineLevel="0" collapsed="false">
      <c r="A635" s="6" t="s">
        <v>402</v>
      </c>
      <c r="B635" s="6" t="s">
        <v>3054</v>
      </c>
      <c r="C635" s="6" t="s">
        <v>2594</v>
      </c>
      <c r="D635" s="6" t="s">
        <v>2589</v>
      </c>
      <c r="E635" s="6" t="s">
        <v>2750</v>
      </c>
      <c r="F635" s="10" t="n">
        <v>5082</v>
      </c>
      <c r="G635" s="10"/>
      <c r="H635" s="14" t="n">
        <v>0.01</v>
      </c>
      <c r="I635" s="9" t="s">
        <v>3059</v>
      </c>
      <c r="J635" s="6"/>
      <c r="K635" s="6"/>
      <c r="L635" s="9" t="s">
        <v>1962</v>
      </c>
    </row>
    <row r="636" customFormat="false" ht="15" hidden="false" customHeight="false" outlineLevel="0" collapsed="false">
      <c r="A636" s="6" t="s">
        <v>402</v>
      </c>
      <c r="B636" s="6" t="s">
        <v>3054</v>
      </c>
      <c r="C636" s="6" t="s">
        <v>2594</v>
      </c>
      <c r="D636" s="6" t="s">
        <v>2589</v>
      </c>
      <c r="E636" s="6" t="s">
        <v>2750</v>
      </c>
      <c r="F636" s="10" t="n">
        <v>-88067</v>
      </c>
      <c r="G636" s="10"/>
      <c r="H636" s="14" t="n">
        <v>-0.17</v>
      </c>
      <c r="I636" s="9" t="s">
        <v>3060</v>
      </c>
      <c r="J636" s="6"/>
      <c r="K636" s="6"/>
      <c r="L636" s="9" t="s">
        <v>1962</v>
      </c>
    </row>
    <row r="637" customFormat="false" ht="15" hidden="false" customHeight="false" outlineLevel="0" collapsed="false">
      <c r="A637" s="6" t="s">
        <v>402</v>
      </c>
      <c r="B637" s="6" t="s">
        <v>3054</v>
      </c>
      <c r="C637" s="6" t="s">
        <v>2594</v>
      </c>
      <c r="D637" s="6" t="s">
        <v>2589</v>
      </c>
      <c r="E637" s="6" t="s">
        <v>2750</v>
      </c>
      <c r="F637" s="10" t="n">
        <v>-44033</v>
      </c>
      <c r="G637" s="10"/>
      <c r="H637" s="14" t="n">
        <v>-0.08</v>
      </c>
      <c r="I637" s="9" t="s">
        <v>3061</v>
      </c>
      <c r="J637" s="6"/>
      <c r="K637" s="6"/>
      <c r="L637" s="9" t="s">
        <v>1962</v>
      </c>
    </row>
    <row r="638" customFormat="false" ht="15" hidden="false" customHeight="false" outlineLevel="0" collapsed="false">
      <c r="A638" s="6" t="s">
        <v>402</v>
      </c>
      <c r="B638" s="6" t="s">
        <v>3054</v>
      </c>
      <c r="C638" s="6" t="s">
        <v>2594</v>
      </c>
      <c r="D638" s="6" t="s">
        <v>2589</v>
      </c>
      <c r="E638" s="6" t="s">
        <v>2750</v>
      </c>
      <c r="F638" s="10" t="n">
        <v>-36297</v>
      </c>
      <c r="G638" s="10"/>
      <c r="H638" s="14" t="n">
        <v>-0.07</v>
      </c>
      <c r="I638" s="9" t="s">
        <v>3061</v>
      </c>
      <c r="J638" s="6"/>
      <c r="K638" s="6"/>
      <c r="L638" s="9" t="s">
        <v>1962</v>
      </c>
    </row>
    <row r="639" customFormat="false" ht="15" hidden="false" customHeight="false" outlineLevel="0" collapsed="false">
      <c r="A639" s="6" t="s">
        <v>402</v>
      </c>
      <c r="B639" s="6" t="s">
        <v>3054</v>
      </c>
      <c r="C639" s="6" t="s">
        <v>2594</v>
      </c>
      <c r="D639" s="6" t="s">
        <v>2589</v>
      </c>
      <c r="E639" s="6" t="s">
        <v>2750</v>
      </c>
      <c r="F639" s="10" t="n">
        <v>7508</v>
      </c>
      <c r="G639" s="10"/>
      <c r="H639" s="14" t="n">
        <v>0.01</v>
      </c>
      <c r="I639" s="9" t="s">
        <v>3062</v>
      </c>
      <c r="J639" s="6"/>
      <c r="K639" s="6"/>
      <c r="L639" s="9" t="s">
        <v>1962</v>
      </c>
    </row>
    <row r="640" customFormat="false" ht="15" hidden="false" customHeight="false" outlineLevel="0" collapsed="false">
      <c r="A640" s="6" t="s">
        <v>402</v>
      </c>
      <c r="B640" s="6" t="s">
        <v>3054</v>
      </c>
      <c r="C640" s="6" t="s">
        <v>2594</v>
      </c>
      <c r="D640" s="6" t="s">
        <v>2589</v>
      </c>
      <c r="E640" s="6" t="s">
        <v>2750</v>
      </c>
      <c r="F640" s="10" t="n">
        <v>3505</v>
      </c>
      <c r="G640" s="10"/>
      <c r="H640" s="14" t="n">
        <v>0.01</v>
      </c>
      <c r="I640" s="9" t="s">
        <v>3063</v>
      </c>
      <c r="J640" s="6"/>
      <c r="K640" s="6"/>
      <c r="L640" s="9" t="s">
        <v>1962</v>
      </c>
    </row>
    <row r="641" customFormat="false" ht="15" hidden="false" customHeight="false" outlineLevel="0" collapsed="false">
      <c r="A641" s="6" t="s">
        <v>402</v>
      </c>
      <c r="B641" s="6" t="s">
        <v>3054</v>
      </c>
      <c r="C641" s="6" t="s">
        <v>2594</v>
      </c>
      <c r="D641" s="6" t="s">
        <v>2589</v>
      </c>
      <c r="E641" s="6" t="s">
        <v>2750</v>
      </c>
      <c r="F641" s="10" t="n">
        <v>2980</v>
      </c>
      <c r="G641" s="10"/>
      <c r="H641" s="14" t="n">
        <v>0.01</v>
      </c>
      <c r="I641" s="9" t="s">
        <v>3064</v>
      </c>
      <c r="J641" s="6"/>
      <c r="K641" s="6"/>
      <c r="L641" s="9" t="s">
        <v>1962</v>
      </c>
    </row>
    <row r="642" customFormat="false" ht="15" hidden="false" customHeight="false" outlineLevel="0" collapsed="false">
      <c r="A642" s="6" t="s">
        <v>402</v>
      </c>
      <c r="B642" s="6" t="s">
        <v>3054</v>
      </c>
      <c r="C642" s="6" t="s">
        <v>2594</v>
      </c>
      <c r="D642" s="6" t="s">
        <v>2589</v>
      </c>
      <c r="E642" s="6" t="s">
        <v>2750</v>
      </c>
      <c r="F642" s="10" t="n">
        <v>9568</v>
      </c>
      <c r="G642" s="10"/>
      <c r="H642" s="14" t="n">
        <v>0.02</v>
      </c>
      <c r="I642" s="9" t="s">
        <v>3065</v>
      </c>
      <c r="J642" s="6"/>
      <c r="K642" s="6"/>
      <c r="L642" s="9" t="s">
        <v>1962</v>
      </c>
    </row>
    <row r="643" customFormat="false" ht="15" hidden="false" customHeight="false" outlineLevel="0" collapsed="false">
      <c r="A643" s="6" t="s">
        <v>402</v>
      </c>
      <c r="B643" s="6" t="s">
        <v>3054</v>
      </c>
      <c r="C643" s="6" t="s">
        <v>2594</v>
      </c>
      <c r="D643" s="6" t="s">
        <v>2589</v>
      </c>
      <c r="E643" s="6" t="s">
        <v>2750</v>
      </c>
      <c r="F643" s="10" t="n">
        <v>4931</v>
      </c>
      <c r="G643" s="10"/>
      <c r="H643" s="14" t="n">
        <v>0.01</v>
      </c>
      <c r="I643" s="9" t="s">
        <v>3066</v>
      </c>
      <c r="J643" s="6"/>
      <c r="K643" s="6"/>
      <c r="L643" s="9" t="s">
        <v>1962</v>
      </c>
    </row>
    <row r="644" customFormat="false" ht="15" hidden="false" customHeight="false" outlineLevel="0" collapsed="false">
      <c r="A644" s="6" t="s">
        <v>402</v>
      </c>
      <c r="B644" s="6" t="s">
        <v>3054</v>
      </c>
      <c r="C644" s="6" t="s">
        <v>2594</v>
      </c>
      <c r="D644" s="6" t="s">
        <v>2589</v>
      </c>
      <c r="E644" s="6" t="s">
        <v>2750</v>
      </c>
      <c r="F644" s="10" t="n">
        <v>9747</v>
      </c>
      <c r="G644" s="10"/>
      <c r="H644" s="14" t="n">
        <v>0.02</v>
      </c>
      <c r="I644" s="9" t="s">
        <v>2804</v>
      </c>
      <c r="J644" s="6"/>
      <c r="K644" s="6"/>
      <c r="L644" s="9" t="s">
        <v>1962</v>
      </c>
    </row>
    <row r="645" customFormat="false" ht="15" hidden="false" customHeight="false" outlineLevel="0" collapsed="false">
      <c r="A645" s="6" t="s">
        <v>402</v>
      </c>
      <c r="B645" s="6" t="s">
        <v>3054</v>
      </c>
      <c r="C645" s="6" t="s">
        <v>2594</v>
      </c>
      <c r="D645" s="6" t="s">
        <v>2589</v>
      </c>
      <c r="E645" s="6" t="s">
        <v>2750</v>
      </c>
      <c r="F645" s="10" t="n">
        <v>6196</v>
      </c>
      <c r="G645" s="10"/>
      <c r="H645" s="14" t="n">
        <v>0.01</v>
      </c>
      <c r="I645" s="9" t="s">
        <v>3067</v>
      </c>
      <c r="J645" s="6"/>
      <c r="K645" s="6"/>
      <c r="L645" s="9" t="s">
        <v>1962</v>
      </c>
    </row>
    <row r="646" customFormat="false" ht="15" hidden="false" customHeight="false" outlineLevel="0" collapsed="false">
      <c r="A646" s="6" t="s">
        <v>402</v>
      </c>
      <c r="B646" s="6" t="s">
        <v>3054</v>
      </c>
      <c r="C646" s="6" t="s">
        <v>2594</v>
      </c>
      <c r="D646" s="6" t="s">
        <v>2589</v>
      </c>
      <c r="E646" s="6" t="s">
        <v>2750</v>
      </c>
      <c r="F646" s="10" t="n">
        <v>12255</v>
      </c>
      <c r="G646" s="10"/>
      <c r="H646" s="14" t="n">
        <v>0.02</v>
      </c>
      <c r="I646" s="9" t="s">
        <v>3068</v>
      </c>
      <c r="J646" s="6"/>
      <c r="K646" s="6"/>
      <c r="L646" s="9" t="s">
        <v>1962</v>
      </c>
    </row>
    <row r="647" customFormat="false" ht="15" hidden="false" customHeight="false" outlineLevel="0" collapsed="false">
      <c r="A647" s="6" t="s">
        <v>402</v>
      </c>
      <c r="B647" s="6" t="s">
        <v>3054</v>
      </c>
      <c r="C647" s="6" t="s">
        <v>2594</v>
      </c>
      <c r="D647" s="6" t="s">
        <v>2589</v>
      </c>
      <c r="E647" s="6" t="s">
        <v>2750</v>
      </c>
      <c r="F647" s="10" t="n">
        <v>18553</v>
      </c>
      <c r="G647" s="10"/>
      <c r="H647" s="14" t="n">
        <v>0.04</v>
      </c>
      <c r="I647" s="9" t="s">
        <v>3069</v>
      </c>
      <c r="J647" s="6"/>
      <c r="K647" s="6"/>
      <c r="L647" s="9" t="s">
        <v>1962</v>
      </c>
    </row>
    <row r="648" customFormat="false" ht="15" hidden="false" customHeight="false" outlineLevel="0" collapsed="false">
      <c r="A648" s="6" t="s">
        <v>402</v>
      </c>
      <c r="B648" s="6" t="s">
        <v>3054</v>
      </c>
      <c r="C648" s="6" t="s">
        <v>2594</v>
      </c>
      <c r="D648" s="6" t="s">
        <v>2589</v>
      </c>
      <c r="E648" s="6" t="s">
        <v>2750</v>
      </c>
      <c r="F648" s="10" t="n">
        <v>220152</v>
      </c>
      <c r="G648" s="10"/>
      <c r="H648" s="14" t="n">
        <v>0.42</v>
      </c>
      <c r="I648" s="9" t="s">
        <v>3070</v>
      </c>
      <c r="J648" s="6"/>
      <c r="K648" s="6"/>
      <c r="L648" s="9" t="s">
        <v>1962</v>
      </c>
    </row>
    <row r="649" customFormat="false" ht="15" hidden="false" customHeight="false" outlineLevel="0" collapsed="false">
      <c r="A649" s="6" t="s">
        <v>402</v>
      </c>
      <c r="B649" s="6" t="s">
        <v>3054</v>
      </c>
      <c r="C649" s="6" t="s">
        <v>2594</v>
      </c>
      <c r="D649" s="6" t="s">
        <v>2589</v>
      </c>
      <c r="E649" s="6" t="s">
        <v>2750</v>
      </c>
      <c r="F649" s="10" t="n">
        <v>27478</v>
      </c>
      <c r="G649" s="10"/>
      <c r="H649" s="14" t="n">
        <v>0.05</v>
      </c>
      <c r="I649" s="9" t="s">
        <v>3045</v>
      </c>
      <c r="J649" s="6"/>
      <c r="K649" s="6"/>
      <c r="L649" s="9" t="s">
        <v>1962</v>
      </c>
    </row>
    <row r="650" customFormat="false" ht="15" hidden="false" customHeight="false" outlineLevel="0" collapsed="false">
      <c r="A650" s="6" t="s">
        <v>402</v>
      </c>
      <c r="B650" s="6" t="s">
        <v>3054</v>
      </c>
      <c r="C650" s="6" t="s">
        <v>2594</v>
      </c>
      <c r="D650" s="6" t="s">
        <v>2589</v>
      </c>
      <c r="E650" s="6" t="s">
        <v>2750</v>
      </c>
      <c r="F650" s="10" t="n">
        <v>-26199</v>
      </c>
      <c r="G650" s="10"/>
      <c r="H650" s="14" t="n">
        <v>-0.05</v>
      </c>
      <c r="I650" s="9" t="s">
        <v>3071</v>
      </c>
      <c r="J650" s="6"/>
      <c r="K650" s="6"/>
      <c r="L650" s="9" t="s">
        <v>1962</v>
      </c>
    </row>
    <row r="651" customFormat="false" ht="15" hidden="false" customHeight="false" outlineLevel="0" collapsed="false">
      <c r="A651" s="6" t="s">
        <v>402</v>
      </c>
      <c r="B651" s="6" t="s">
        <v>3054</v>
      </c>
      <c r="C651" s="6" t="s">
        <v>2594</v>
      </c>
      <c r="D651" s="6" t="s">
        <v>2589</v>
      </c>
      <c r="E651" s="9" t="s">
        <v>3046</v>
      </c>
      <c r="F651" s="10" t="n">
        <v>120000</v>
      </c>
      <c r="G651" s="10" t="n">
        <v>2000000000</v>
      </c>
      <c r="H651" s="14" t="n">
        <v>0.23</v>
      </c>
      <c r="I651" s="9" t="s">
        <v>3072</v>
      </c>
      <c r="J651" s="6"/>
      <c r="K651" s="9" t="s">
        <v>2645</v>
      </c>
      <c r="L651" s="9" t="s">
        <v>1962</v>
      </c>
    </row>
    <row r="652" customFormat="false" ht="15" hidden="false" customHeight="false" outlineLevel="0" collapsed="false">
      <c r="A652" s="6" t="s">
        <v>402</v>
      </c>
      <c r="B652" s="6" t="s">
        <v>3054</v>
      </c>
      <c r="C652" s="6" t="s">
        <v>2594</v>
      </c>
      <c r="D652" s="6" t="s">
        <v>2589</v>
      </c>
      <c r="E652" s="6" t="s">
        <v>2950</v>
      </c>
      <c r="F652" s="10" t="n">
        <v>76200</v>
      </c>
      <c r="G652" s="10" t="n">
        <v>5000000000</v>
      </c>
      <c r="H652" s="14" t="n">
        <v>0.15</v>
      </c>
      <c r="I652" s="9" t="s">
        <v>3073</v>
      </c>
      <c r="J652" s="6"/>
      <c r="K652" s="9" t="s">
        <v>2645</v>
      </c>
      <c r="L652" s="9" t="s">
        <v>1962</v>
      </c>
    </row>
    <row r="653" customFormat="false" ht="15" hidden="false" customHeight="false" outlineLevel="0" collapsed="false">
      <c r="A653" s="6" t="s">
        <v>402</v>
      </c>
      <c r="B653" s="6" t="s">
        <v>3054</v>
      </c>
      <c r="C653" s="6" t="s">
        <v>2594</v>
      </c>
      <c r="D653" s="6" t="s">
        <v>2589</v>
      </c>
      <c r="E653" s="6" t="s">
        <v>2950</v>
      </c>
      <c r="F653" s="10" t="n">
        <v>153000</v>
      </c>
      <c r="G653" s="10"/>
      <c r="H653" s="14" t="n">
        <v>0.29</v>
      </c>
      <c r="I653" s="9" t="s">
        <v>2999</v>
      </c>
      <c r="J653" s="6"/>
      <c r="K653" s="6"/>
      <c r="L653" s="9" t="s">
        <v>1962</v>
      </c>
    </row>
    <row r="654" customFormat="false" ht="15" hidden="false" customHeight="false" outlineLevel="0" collapsed="false">
      <c r="A654" s="6" t="s">
        <v>402</v>
      </c>
      <c r="B654" s="6" t="s">
        <v>3054</v>
      </c>
      <c r="C654" s="6" t="s">
        <v>2594</v>
      </c>
      <c r="D654" s="6" t="s">
        <v>2589</v>
      </c>
      <c r="E654" s="6" t="s">
        <v>2950</v>
      </c>
      <c r="F654" s="10" t="n">
        <v>115000</v>
      </c>
      <c r="G654" s="10"/>
      <c r="H654" s="14" t="n">
        <v>0.22</v>
      </c>
      <c r="I654" s="9" t="s">
        <v>3074</v>
      </c>
      <c r="J654" s="6"/>
      <c r="K654" s="6"/>
      <c r="L654" s="9" t="s">
        <v>1962</v>
      </c>
    </row>
    <row r="655" customFormat="false" ht="15" hidden="false" customHeight="false" outlineLevel="0" collapsed="false">
      <c r="A655" s="6" t="s">
        <v>402</v>
      </c>
      <c r="B655" s="6" t="s">
        <v>3075</v>
      </c>
      <c r="C655" s="6" t="s">
        <v>2594</v>
      </c>
      <c r="D655" s="6" t="s">
        <v>2641</v>
      </c>
      <c r="E655" s="6" t="s">
        <v>3039</v>
      </c>
      <c r="F655" s="10" t="n">
        <v>140000</v>
      </c>
      <c r="G655" s="10"/>
      <c r="H655" s="14" t="n">
        <v>0.27</v>
      </c>
      <c r="I655" s="9" t="s">
        <v>3001</v>
      </c>
      <c r="J655" s="6"/>
      <c r="K655" s="6"/>
      <c r="L655" s="9" t="s">
        <v>1962</v>
      </c>
    </row>
    <row r="656" customFormat="false" ht="15" hidden="false" customHeight="false" outlineLevel="0" collapsed="false">
      <c r="A656" s="6" t="s">
        <v>402</v>
      </c>
      <c r="B656" s="6" t="s">
        <v>3075</v>
      </c>
      <c r="C656" s="6" t="s">
        <v>2594</v>
      </c>
      <c r="D656" s="6" t="s">
        <v>2641</v>
      </c>
      <c r="E656" s="6" t="s">
        <v>3039</v>
      </c>
      <c r="F656" s="10" t="n">
        <v>-20000</v>
      </c>
      <c r="G656" s="10"/>
      <c r="H656" s="14" t="n">
        <v>-0.04</v>
      </c>
      <c r="I656" s="9" t="s">
        <v>3076</v>
      </c>
      <c r="J656" s="6"/>
      <c r="K656" s="6"/>
      <c r="L656" s="9" t="s">
        <v>1962</v>
      </c>
    </row>
    <row r="657" customFormat="false" ht="15" hidden="false" customHeight="false" outlineLevel="0" collapsed="false">
      <c r="A657" s="6" t="s">
        <v>402</v>
      </c>
      <c r="B657" s="6" t="s">
        <v>3077</v>
      </c>
      <c r="C657" s="6" t="s">
        <v>2594</v>
      </c>
      <c r="D657" s="6" t="s">
        <v>2589</v>
      </c>
      <c r="E657" s="9" t="s">
        <v>3046</v>
      </c>
      <c r="F657" s="10" t="n">
        <v>200000</v>
      </c>
      <c r="G657" s="10" t="n">
        <v>2820000000</v>
      </c>
      <c r="H657" s="14" t="n">
        <v>0.38</v>
      </c>
      <c r="I657" s="9" t="s">
        <v>3078</v>
      </c>
      <c r="J657" s="6"/>
      <c r="K657" s="9" t="s">
        <v>2645</v>
      </c>
      <c r="L657" s="9" t="s">
        <v>1962</v>
      </c>
    </row>
    <row r="658" customFormat="false" ht="15" hidden="false" customHeight="false" outlineLevel="0" collapsed="false">
      <c r="A658" s="6" t="s">
        <v>402</v>
      </c>
      <c r="B658" s="6" t="s">
        <v>3079</v>
      </c>
      <c r="C658" s="6" t="s">
        <v>2594</v>
      </c>
      <c r="D658" s="6" t="s">
        <v>2589</v>
      </c>
      <c r="E658" s="9" t="s">
        <v>3046</v>
      </c>
      <c r="F658" s="10" t="n">
        <v>100000</v>
      </c>
      <c r="G658" s="10" t="n">
        <v>1410000000</v>
      </c>
      <c r="H658" s="14" t="n">
        <v>0.19</v>
      </c>
      <c r="I658" s="9" t="s">
        <v>3078</v>
      </c>
      <c r="J658" s="6"/>
      <c r="K658" s="9" t="s">
        <v>2645</v>
      </c>
      <c r="L658" s="9" t="s">
        <v>1962</v>
      </c>
    </row>
    <row r="659" customFormat="false" ht="15" hidden="false" customHeight="false" outlineLevel="0" collapsed="false">
      <c r="A659" s="6" t="s">
        <v>402</v>
      </c>
      <c r="B659" s="6" t="s">
        <v>3080</v>
      </c>
      <c r="C659" s="6" t="s">
        <v>2594</v>
      </c>
      <c r="D659" s="6" t="s">
        <v>2589</v>
      </c>
      <c r="E659" s="9" t="s">
        <v>3046</v>
      </c>
      <c r="F659" s="10" t="n">
        <v>100000</v>
      </c>
      <c r="G659" s="10" t="n">
        <v>1410000000</v>
      </c>
      <c r="H659" s="14" t="n">
        <v>0.19</v>
      </c>
      <c r="I659" s="9" t="s">
        <v>3078</v>
      </c>
      <c r="J659" s="6"/>
      <c r="K659" s="9" t="s">
        <v>2645</v>
      </c>
      <c r="L659" s="9" t="s">
        <v>1962</v>
      </c>
    </row>
    <row r="660" customFormat="false" ht="15" hidden="false" customHeight="false" outlineLevel="0" collapsed="false">
      <c r="A660" s="6" t="s">
        <v>402</v>
      </c>
      <c r="B660" s="6" t="s">
        <v>3081</v>
      </c>
      <c r="C660" s="6" t="s">
        <v>2594</v>
      </c>
      <c r="D660" s="6" t="s">
        <v>2589</v>
      </c>
      <c r="E660" s="6" t="s">
        <v>2750</v>
      </c>
      <c r="F660" s="10" t="n">
        <v>6352</v>
      </c>
      <c r="G660" s="10" t="n">
        <v>250000000</v>
      </c>
      <c r="H660" s="14" t="n">
        <v>0.01</v>
      </c>
      <c r="I660" s="9" t="s">
        <v>3082</v>
      </c>
      <c r="J660" s="6"/>
      <c r="K660" s="9" t="s">
        <v>2645</v>
      </c>
      <c r="L660" s="9" t="s">
        <v>1962</v>
      </c>
    </row>
    <row r="661" customFormat="false" ht="15" hidden="false" customHeight="false" outlineLevel="0" collapsed="false">
      <c r="A661" s="6" t="s">
        <v>402</v>
      </c>
      <c r="B661" s="6" t="s">
        <v>3081</v>
      </c>
      <c r="C661" s="6" t="s">
        <v>2594</v>
      </c>
      <c r="D661" s="6" t="s">
        <v>2589</v>
      </c>
      <c r="E661" s="6" t="s">
        <v>2750</v>
      </c>
      <c r="F661" s="10" t="n">
        <v>6562</v>
      </c>
      <c r="G661" s="10"/>
      <c r="H661" s="14" t="n">
        <v>0.01</v>
      </c>
      <c r="I661" s="9" t="s">
        <v>3083</v>
      </c>
      <c r="J661" s="6"/>
      <c r="K661" s="6"/>
      <c r="L661" s="9" t="s">
        <v>1962</v>
      </c>
    </row>
    <row r="662" customFormat="false" ht="15" hidden="false" customHeight="false" outlineLevel="0" collapsed="false">
      <c r="A662" s="6" t="s">
        <v>402</v>
      </c>
      <c r="B662" s="6" t="s">
        <v>3081</v>
      </c>
      <c r="C662" s="6" t="s">
        <v>2594</v>
      </c>
      <c r="D662" s="6" t="s">
        <v>2589</v>
      </c>
      <c r="E662" s="6" t="s">
        <v>2750</v>
      </c>
      <c r="F662" s="10" t="n">
        <v>-2531</v>
      </c>
      <c r="G662" s="10"/>
      <c r="H662" s="14" t="n">
        <v>0</v>
      </c>
      <c r="I662" s="9" t="s">
        <v>3084</v>
      </c>
      <c r="J662" s="6"/>
      <c r="K662" s="6"/>
      <c r="L662" s="9" t="s">
        <v>1962</v>
      </c>
    </row>
    <row r="663" customFormat="false" ht="15" hidden="false" customHeight="false" outlineLevel="0" collapsed="false">
      <c r="A663" s="6" t="s">
        <v>402</v>
      </c>
      <c r="B663" s="6" t="s">
        <v>3081</v>
      </c>
      <c r="C663" s="6" t="s">
        <v>2594</v>
      </c>
      <c r="D663" s="6" t="s">
        <v>2589</v>
      </c>
      <c r="E663" s="6" t="s">
        <v>2750</v>
      </c>
      <c r="F663" s="10" t="n">
        <v>-1280</v>
      </c>
      <c r="G663" s="10"/>
      <c r="H663" s="14" t="n">
        <v>0</v>
      </c>
      <c r="I663" s="9" t="s">
        <v>3085</v>
      </c>
      <c r="J663" s="6"/>
      <c r="K663" s="6"/>
      <c r="L663" s="9" t="s">
        <v>1962</v>
      </c>
    </row>
    <row r="664" customFormat="false" ht="15" hidden="false" customHeight="false" outlineLevel="0" collapsed="false">
      <c r="A664" s="6" t="s">
        <v>402</v>
      </c>
      <c r="B664" s="6" t="s">
        <v>3081</v>
      </c>
      <c r="C664" s="6" t="s">
        <v>2594</v>
      </c>
      <c r="D664" s="6" t="s">
        <v>2589</v>
      </c>
      <c r="E664" s="6" t="s">
        <v>2750</v>
      </c>
      <c r="F664" s="10" t="n">
        <v>-508</v>
      </c>
      <c r="G664" s="10"/>
      <c r="H664" s="14" t="n">
        <v>0</v>
      </c>
      <c r="I664" s="9" t="s">
        <v>3009</v>
      </c>
      <c r="J664" s="6"/>
      <c r="K664" s="6"/>
      <c r="L664" s="9" t="s">
        <v>1962</v>
      </c>
    </row>
    <row r="665" customFormat="false" ht="15" hidden="false" customHeight="false" outlineLevel="0" collapsed="false">
      <c r="A665" s="6" t="s">
        <v>402</v>
      </c>
      <c r="B665" s="6" t="s">
        <v>3081</v>
      </c>
      <c r="C665" s="6" t="s">
        <v>2594</v>
      </c>
      <c r="D665" s="6" t="s">
        <v>2589</v>
      </c>
      <c r="E665" s="6" t="s">
        <v>2750</v>
      </c>
      <c r="F665" s="10" t="n">
        <v>-3345</v>
      </c>
      <c r="G665" s="10"/>
      <c r="H665" s="14" t="n">
        <v>-0.01</v>
      </c>
      <c r="I665" s="9" t="s">
        <v>3086</v>
      </c>
      <c r="J665" s="6"/>
      <c r="K665" s="6"/>
      <c r="L665" s="9" t="s">
        <v>1962</v>
      </c>
    </row>
    <row r="666" customFormat="false" ht="15" hidden="false" customHeight="false" outlineLevel="0" collapsed="false">
      <c r="A666" s="6" t="s">
        <v>402</v>
      </c>
      <c r="B666" s="6" t="s">
        <v>3081</v>
      </c>
      <c r="C666" s="6" t="s">
        <v>2594</v>
      </c>
      <c r="D666" s="6" t="s">
        <v>2589</v>
      </c>
      <c r="E666" s="6" t="s">
        <v>2750</v>
      </c>
      <c r="F666" s="10" t="n">
        <v>3116</v>
      </c>
      <c r="G666" s="10"/>
      <c r="H666" s="14" t="n">
        <v>0.01</v>
      </c>
      <c r="I666" s="9" t="s">
        <v>3087</v>
      </c>
      <c r="J666" s="6"/>
      <c r="K666" s="6"/>
      <c r="L666" s="9" t="s">
        <v>1962</v>
      </c>
    </row>
    <row r="667" customFormat="false" ht="15" hidden="false" customHeight="false" outlineLevel="0" collapsed="false">
      <c r="A667" s="6" t="s">
        <v>402</v>
      </c>
      <c r="B667" s="6" t="s">
        <v>3088</v>
      </c>
      <c r="C667" s="6" t="s">
        <v>2594</v>
      </c>
      <c r="D667" s="6" t="s">
        <v>2589</v>
      </c>
      <c r="E667" s="6" t="s">
        <v>2750</v>
      </c>
      <c r="F667" s="10" t="n">
        <v>6352</v>
      </c>
      <c r="G667" s="10" t="n">
        <v>250000000</v>
      </c>
      <c r="H667" s="14" t="n">
        <v>0.01</v>
      </c>
      <c r="I667" s="9" t="s">
        <v>3082</v>
      </c>
      <c r="J667" s="6"/>
      <c r="K667" s="9" t="s">
        <v>2645</v>
      </c>
      <c r="L667" s="9" t="s">
        <v>1962</v>
      </c>
    </row>
    <row r="668" customFormat="false" ht="15" hidden="false" customHeight="false" outlineLevel="0" collapsed="false">
      <c r="A668" s="6" t="s">
        <v>402</v>
      </c>
      <c r="B668" s="6" t="s">
        <v>3088</v>
      </c>
      <c r="C668" s="6" t="s">
        <v>2594</v>
      </c>
      <c r="D668" s="6" t="s">
        <v>2589</v>
      </c>
      <c r="E668" s="6" t="s">
        <v>2750</v>
      </c>
      <c r="F668" s="10" t="n">
        <v>6562</v>
      </c>
      <c r="G668" s="10"/>
      <c r="H668" s="14" t="n">
        <v>0.01</v>
      </c>
      <c r="I668" s="9" t="s">
        <v>3083</v>
      </c>
      <c r="J668" s="6"/>
      <c r="K668" s="6"/>
      <c r="L668" s="9" t="s">
        <v>1962</v>
      </c>
    </row>
    <row r="669" customFormat="false" ht="15" hidden="false" customHeight="false" outlineLevel="0" collapsed="false">
      <c r="A669" s="6" t="s">
        <v>402</v>
      </c>
      <c r="B669" s="6" t="s">
        <v>3088</v>
      </c>
      <c r="C669" s="6" t="s">
        <v>2594</v>
      </c>
      <c r="D669" s="6" t="s">
        <v>2589</v>
      </c>
      <c r="E669" s="6" t="s">
        <v>2750</v>
      </c>
      <c r="F669" s="10" t="n">
        <v>-2531</v>
      </c>
      <c r="G669" s="10"/>
      <c r="H669" s="14" t="n">
        <v>0</v>
      </c>
      <c r="I669" s="9" t="s">
        <v>3084</v>
      </c>
      <c r="J669" s="6"/>
      <c r="K669" s="6"/>
      <c r="L669" s="9" t="s">
        <v>1962</v>
      </c>
    </row>
    <row r="670" customFormat="false" ht="15" hidden="false" customHeight="false" outlineLevel="0" collapsed="false">
      <c r="A670" s="6" t="s">
        <v>402</v>
      </c>
      <c r="B670" s="6" t="s">
        <v>3088</v>
      </c>
      <c r="C670" s="6" t="s">
        <v>2594</v>
      </c>
      <c r="D670" s="6" t="s">
        <v>2589</v>
      </c>
      <c r="E670" s="6" t="s">
        <v>2750</v>
      </c>
      <c r="F670" s="10" t="n">
        <v>-1280</v>
      </c>
      <c r="G670" s="10"/>
      <c r="H670" s="14" t="n">
        <v>0</v>
      </c>
      <c r="I670" s="9" t="s">
        <v>3085</v>
      </c>
      <c r="J670" s="6"/>
      <c r="K670" s="6"/>
      <c r="L670" s="9" t="s">
        <v>1962</v>
      </c>
    </row>
    <row r="671" customFormat="false" ht="15" hidden="false" customHeight="false" outlineLevel="0" collapsed="false">
      <c r="A671" s="6" t="s">
        <v>402</v>
      </c>
      <c r="B671" s="6" t="s">
        <v>3088</v>
      </c>
      <c r="C671" s="6" t="s">
        <v>2594</v>
      </c>
      <c r="D671" s="6" t="s">
        <v>2589</v>
      </c>
      <c r="E671" s="6" t="s">
        <v>2750</v>
      </c>
      <c r="F671" s="10" t="n">
        <v>-508</v>
      </c>
      <c r="G671" s="10"/>
      <c r="H671" s="14" t="n">
        <v>0</v>
      </c>
      <c r="I671" s="9" t="s">
        <v>3009</v>
      </c>
      <c r="J671" s="6"/>
      <c r="K671" s="6"/>
      <c r="L671" s="9" t="s">
        <v>1962</v>
      </c>
    </row>
    <row r="672" customFormat="false" ht="15" hidden="false" customHeight="false" outlineLevel="0" collapsed="false">
      <c r="A672" s="6" t="s">
        <v>402</v>
      </c>
      <c r="B672" s="6" t="s">
        <v>3088</v>
      </c>
      <c r="C672" s="6" t="s">
        <v>2594</v>
      </c>
      <c r="D672" s="6" t="s">
        <v>2589</v>
      </c>
      <c r="E672" s="6" t="s">
        <v>2750</v>
      </c>
      <c r="F672" s="10" t="n">
        <v>-3345</v>
      </c>
      <c r="G672" s="10"/>
      <c r="H672" s="14" t="n">
        <v>-0.01</v>
      </c>
      <c r="I672" s="9" t="s">
        <v>3086</v>
      </c>
      <c r="J672" s="6"/>
      <c r="K672" s="6"/>
      <c r="L672" s="9" t="s">
        <v>1962</v>
      </c>
    </row>
    <row r="673" customFormat="false" ht="15" hidden="false" customHeight="false" outlineLevel="0" collapsed="false">
      <c r="A673" s="6" t="s">
        <v>402</v>
      </c>
      <c r="B673" s="6" t="s">
        <v>3088</v>
      </c>
      <c r="C673" s="6" t="s">
        <v>2594</v>
      </c>
      <c r="D673" s="6" t="s">
        <v>2589</v>
      </c>
      <c r="E673" s="6" t="s">
        <v>2750</v>
      </c>
      <c r="F673" s="10" t="n">
        <v>3206</v>
      </c>
      <c r="G673" s="10"/>
      <c r="H673" s="14" t="n">
        <v>0.01</v>
      </c>
      <c r="I673" s="9" t="s">
        <v>3089</v>
      </c>
      <c r="J673" s="6"/>
      <c r="K673" s="6"/>
      <c r="L673" s="9" t="s">
        <v>1962</v>
      </c>
    </row>
    <row r="674" customFormat="false" ht="15" hidden="false" customHeight="false" outlineLevel="0" collapsed="false">
      <c r="A674" s="6" t="s">
        <v>402</v>
      </c>
      <c r="B674" s="6" t="s">
        <v>3090</v>
      </c>
      <c r="C674" s="6" t="s">
        <v>2594</v>
      </c>
      <c r="D674" s="6" t="s">
        <v>2589</v>
      </c>
      <c r="E674" s="6" t="s">
        <v>2750</v>
      </c>
      <c r="F674" s="10" t="n">
        <v>6352</v>
      </c>
      <c r="G674" s="10" t="n">
        <v>250000000</v>
      </c>
      <c r="H674" s="14" t="n">
        <v>0.01</v>
      </c>
      <c r="I674" s="9" t="s">
        <v>3082</v>
      </c>
      <c r="J674" s="6"/>
      <c r="K674" s="9" t="s">
        <v>2645</v>
      </c>
      <c r="L674" s="9" t="s">
        <v>1962</v>
      </c>
    </row>
    <row r="675" customFormat="false" ht="15" hidden="false" customHeight="false" outlineLevel="0" collapsed="false">
      <c r="A675" s="6" t="s">
        <v>402</v>
      </c>
      <c r="B675" s="6" t="s">
        <v>3090</v>
      </c>
      <c r="C675" s="6" t="s">
        <v>2594</v>
      </c>
      <c r="D675" s="6" t="s">
        <v>2589</v>
      </c>
      <c r="E675" s="6" t="s">
        <v>2750</v>
      </c>
      <c r="F675" s="10" t="n">
        <v>6562</v>
      </c>
      <c r="G675" s="10"/>
      <c r="H675" s="14" t="n">
        <v>0.01</v>
      </c>
      <c r="I675" s="9" t="s">
        <v>3083</v>
      </c>
      <c r="J675" s="6"/>
      <c r="K675" s="6"/>
      <c r="L675" s="9" t="s">
        <v>1962</v>
      </c>
    </row>
    <row r="676" customFormat="false" ht="15" hidden="false" customHeight="false" outlineLevel="0" collapsed="false">
      <c r="A676" s="6" t="s">
        <v>402</v>
      </c>
      <c r="B676" s="6" t="s">
        <v>3090</v>
      </c>
      <c r="C676" s="6" t="s">
        <v>2594</v>
      </c>
      <c r="D676" s="6" t="s">
        <v>2589</v>
      </c>
      <c r="E676" s="6" t="s">
        <v>2750</v>
      </c>
      <c r="F676" s="10" t="n">
        <v>-2531</v>
      </c>
      <c r="G676" s="10"/>
      <c r="H676" s="14" t="n">
        <v>0</v>
      </c>
      <c r="I676" s="9" t="s">
        <v>3084</v>
      </c>
      <c r="J676" s="6"/>
      <c r="K676" s="6"/>
      <c r="L676" s="9" t="s">
        <v>1962</v>
      </c>
    </row>
    <row r="677" customFormat="false" ht="15" hidden="false" customHeight="false" outlineLevel="0" collapsed="false">
      <c r="A677" s="6" t="s">
        <v>402</v>
      </c>
      <c r="B677" s="6" t="s">
        <v>3090</v>
      </c>
      <c r="C677" s="6" t="s">
        <v>2594</v>
      </c>
      <c r="D677" s="6" t="s">
        <v>2589</v>
      </c>
      <c r="E677" s="6" t="s">
        <v>2750</v>
      </c>
      <c r="F677" s="10" t="n">
        <v>-1280</v>
      </c>
      <c r="G677" s="10"/>
      <c r="H677" s="14" t="n">
        <v>0</v>
      </c>
      <c r="I677" s="9" t="s">
        <v>3085</v>
      </c>
      <c r="J677" s="6"/>
      <c r="K677" s="6"/>
      <c r="L677" s="9" t="s">
        <v>1962</v>
      </c>
    </row>
    <row r="678" customFormat="false" ht="15" hidden="false" customHeight="false" outlineLevel="0" collapsed="false">
      <c r="A678" s="6" t="s">
        <v>402</v>
      </c>
      <c r="B678" s="6" t="s">
        <v>3090</v>
      </c>
      <c r="C678" s="6" t="s">
        <v>2594</v>
      </c>
      <c r="D678" s="6" t="s">
        <v>2589</v>
      </c>
      <c r="E678" s="6" t="s">
        <v>2750</v>
      </c>
      <c r="F678" s="10" t="n">
        <v>-508</v>
      </c>
      <c r="G678" s="10"/>
      <c r="H678" s="14" t="n">
        <v>0</v>
      </c>
      <c r="I678" s="9" t="s">
        <v>3009</v>
      </c>
      <c r="J678" s="6"/>
      <c r="K678" s="6"/>
      <c r="L678" s="9" t="s">
        <v>1962</v>
      </c>
    </row>
    <row r="679" customFormat="false" ht="15" hidden="false" customHeight="false" outlineLevel="0" collapsed="false">
      <c r="A679" s="6" t="s">
        <v>402</v>
      </c>
      <c r="B679" s="6" t="s">
        <v>3090</v>
      </c>
      <c r="C679" s="6" t="s">
        <v>2594</v>
      </c>
      <c r="D679" s="6" t="s">
        <v>2589</v>
      </c>
      <c r="E679" s="6" t="s">
        <v>2750</v>
      </c>
      <c r="F679" s="10" t="n">
        <v>-3345</v>
      </c>
      <c r="G679" s="10"/>
      <c r="H679" s="14" t="n">
        <v>-0.01</v>
      </c>
      <c r="I679" s="9" t="s">
        <v>3086</v>
      </c>
      <c r="J679" s="6"/>
      <c r="K679" s="6"/>
      <c r="L679" s="9" t="s">
        <v>1962</v>
      </c>
    </row>
    <row r="680" customFormat="false" ht="15" hidden="false" customHeight="false" outlineLevel="0" collapsed="false">
      <c r="A680" s="6" t="s">
        <v>402</v>
      </c>
      <c r="B680" s="6" t="s">
        <v>3090</v>
      </c>
      <c r="C680" s="6" t="s">
        <v>2594</v>
      </c>
      <c r="D680" s="6" t="s">
        <v>2589</v>
      </c>
      <c r="E680" s="6" t="s">
        <v>2750</v>
      </c>
      <c r="F680" s="10" t="n">
        <v>3193</v>
      </c>
      <c r="G680" s="10"/>
      <c r="H680" s="14" t="n">
        <v>0.01</v>
      </c>
      <c r="I680" s="9" t="s">
        <v>3091</v>
      </c>
      <c r="J680" s="6"/>
      <c r="K680" s="6"/>
      <c r="L680" s="9" t="s">
        <v>1962</v>
      </c>
    </row>
    <row r="681" customFormat="false" ht="15" hidden="false" customHeight="false" outlineLevel="0" collapsed="false">
      <c r="A681" s="6" t="s">
        <v>402</v>
      </c>
      <c r="B681" s="6" t="s">
        <v>3092</v>
      </c>
      <c r="C681" s="6" t="s">
        <v>2594</v>
      </c>
      <c r="D681" s="6" t="s">
        <v>2589</v>
      </c>
      <c r="E681" s="6" t="s">
        <v>2750</v>
      </c>
      <c r="F681" s="10" t="n">
        <v>6352</v>
      </c>
      <c r="G681" s="10" t="n">
        <v>250000000</v>
      </c>
      <c r="H681" s="14" t="n">
        <v>0.01</v>
      </c>
      <c r="I681" s="9" t="s">
        <v>3082</v>
      </c>
      <c r="J681" s="6"/>
      <c r="K681" s="9" t="s">
        <v>2645</v>
      </c>
      <c r="L681" s="9" t="s">
        <v>1962</v>
      </c>
    </row>
    <row r="682" customFormat="false" ht="15" hidden="false" customHeight="false" outlineLevel="0" collapsed="false">
      <c r="A682" s="6" t="s">
        <v>402</v>
      </c>
      <c r="B682" s="6" t="s">
        <v>3092</v>
      </c>
      <c r="C682" s="6" t="s">
        <v>2594</v>
      </c>
      <c r="D682" s="6" t="s">
        <v>2589</v>
      </c>
      <c r="E682" s="6" t="s">
        <v>2750</v>
      </c>
      <c r="F682" s="10" t="n">
        <v>6562</v>
      </c>
      <c r="G682" s="10"/>
      <c r="H682" s="14" t="n">
        <v>0.01</v>
      </c>
      <c r="I682" s="9" t="s">
        <v>3083</v>
      </c>
      <c r="J682" s="6"/>
      <c r="K682" s="6"/>
      <c r="L682" s="9" t="s">
        <v>1962</v>
      </c>
    </row>
    <row r="683" customFormat="false" ht="15" hidden="false" customHeight="false" outlineLevel="0" collapsed="false">
      <c r="A683" s="6" t="s">
        <v>402</v>
      </c>
      <c r="B683" s="6" t="s">
        <v>3092</v>
      </c>
      <c r="C683" s="6" t="s">
        <v>2594</v>
      </c>
      <c r="D683" s="6" t="s">
        <v>2589</v>
      </c>
      <c r="E683" s="6" t="s">
        <v>2750</v>
      </c>
      <c r="F683" s="10" t="n">
        <v>-2531</v>
      </c>
      <c r="G683" s="10"/>
      <c r="H683" s="14" t="n">
        <v>0</v>
      </c>
      <c r="I683" s="9" t="s">
        <v>3084</v>
      </c>
      <c r="J683" s="6"/>
      <c r="K683" s="6"/>
      <c r="L683" s="9" t="s">
        <v>1962</v>
      </c>
    </row>
    <row r="684" customFormat="false" ht="15" hidden="false" customHeight="false" outlineLevel="0" collapsed="false">
      <c r="A684" s="6" t="s">
        <v>402</v>
      </c>
      <c r="B684" s="6" t="s">
        <v>3092</v>
      </c>
      <c r="C684" s="6" t="s">
        <v>2594</v>
      </c>
      <c r="D684" s="6" t="s">
        <v>2589</v>
      </c>
      <c r="E684" s="6" t="s">
        <v>2750</v>
      </c>
      <c r="F684" s="10" t="n">
        <v>-1280</v>
      </c>
      <c r="G684" s="10"/>
      <c r="H684" s="14" t="n">
        <v>0</v>
      </c>
      <c r="I684" s="9" t="s">
        <v>3085</v>
      </c>
      <c r="J684" s="6"/>
      <c r="K684" s="6"/>
      <c r="L684" s="9" t="s">
        <v>1962</v>
      </c>
    </row>
    <row r="685" customFormat="false" ht="15" hidden="false" customHeight="false" outlineLevel="0" collapsed="false">
      <c r="A685" s="6" t="s">
        <v>402</v>
      </c>
      <c r="B685" s="6" t="s">
        <v>3092</v>
      </c>
      <c r="C685" s="6" t="s">
        <v>2594</v>
      </c>
      <c r="D685" s="6" t="s">
        <v>2589</v>
      </c>
      <c r="E685" s="6" t="s">
        <v>2750</v>
      </c>
      <c r="F685" s="10" t="n">
        <v>-508</v>
      </c>
      <c r="G685" s="10"/>
      <c r="H685" s="14" t="n">
        <v>0</v>
      </c>
      <c r="I685" s="9" t="s">
        <v>3009</v>
      </c>
      <c r="J685" s="6"/>
      <c r="K685" s="6"/>
      <c r="L685" s="9" t="s">
        <v>1962</v>
      </c>
    </row>
    <row r="686" customFormat="false" ht="15" hidden="false" customHeight="false" outlineLevel="0" collapsed="false">
      <c r="A686" s="6" t="s">
        <v>402</v>
      </c>
      <c r="B686" s="6" t="s">
        <v>3092</v>
      </c>
      <c r="C686" s="6" t="s">
        <v>2594</v>
      </c>
      <c r="D686" s="6" t="s">
        <v>2589</v>
      </c>
      <c r="E686" s="6" t="s">
        <v>2750</v>
      </c>
      <c r="F686" s="10" t="n">
        <v>-3345</v>
      </c>
      <c r="G686" s="10"/>
      <c r="H686" s="14" t="n">
        <v>-0.01</v>
      </c>
      <c r="I686" s="9" t="s">
        <v>3086</v>
      </c>
      <c r="J686" s="6"/>
      <c r="K686" s="6"/>
      <c r="L686" s="9" t="s">
        <v>1962</v>
      </c>
    </row>
    <row r="687" customFormat="false" ht="15" hidden="false" customHeight="false" outlineLevel="0" collapsed="false">
      <c r="A687" s="6" t="s">
        <v>402</v>
      </c>
      <c r="B687" s="6" t="s">
        <v>3092</v>
      </c>
      <c r="C687" s="6" t="s">
        <v>2594</v>
      </c>
      <c r="D687" s="6" t="s">
        <v>2589</v>
      </c>
      <c r="E687" s="6" t="s">
        <v>2750</v>
      </c>
      <c r="F687" s="10" t="n">
        <v>3063</v>
      </c>
      <c r="G687" s="10"/>
      <c r="H687" s="14" t="n">
        <v>0.01</v>
      </c>
      <c r="I687" s="9" t="s">
        <v>3093</v>
      </c>
      <c r="J687" s="6"/>
      <c r="K687" s="6"/>
      <c r="L687" s="9" t="s">
        <v>1962</v>
      </c>
    </row>
    <row r="688" customFormat="false" ht="15" hidden="false" customHeight="false" outlineLevel="0" collapsed="false">
      <c r="A688" s="6" t="s">
        <v>402</v>
      </c>
      <c r="B688" s="6" t="s">
        <v>3094</v>
      </c>
      <c r="C688" s="6" t="s">
        <v>2594</v>
      </c>
      <c r="D688" s="6" t="s">
        <v>2589</v>
      </c>
      <c r="E688" s="6" t="s">
        <v>2750</v>
      </c>
      <c r="F688" s="10" t="n">
        <v>6352</v>
      </c>
      <c r="G688" s="10" t="n">
        <v>250000000</v>
      </c>
      <c r="H688" s="14" t="n">
        <v>0.01</v>
      </c>
      <c r="I688" s="9" t="s">
        <v>3082</v>
      </c>
      <c r="J688" s="6"/>
      <c r="K688" s="9" t="s">
        <v>2645</v>
      </c>
      <c r="L688" s="9" t="s">
        <v>1962</v>
      </c>
    </row>
    <row r="689" customFormat="false" ht="15" hidden="false" customHeight="false" outlineLevel="0" collapsed="false">
      <c r="A689" s="6" t="s">
        <v>402</v>
      </c>
      <c r="B689" s="6" t="s">
        <v>3094</v>
      </c>
      <c r="C689" s="6" t="s">
        <v>2594</v>
      </c>
      <c r="D689" s="6" t="s">
        <v>2589</v>
      </c>
      <c r="E689" s="6" t="s">
        <v>2750</v>
      </c>
      <c r="F689" s="10" t="n">
        <v>6562</v>
      </c>
      <c r="G689" s="10"/>
      <c r="H689" s="14" t="n">
        <v>0.01</v>
      </c>
      <c r="I689" s="9" t="s">
        <v>3083</v>
      </c>
      <c r="J689" s="6"/>
      <c r="K689" s="6"/>
      <c r="L689" s="9" t="s">
        <v>1962</v>
      </c>
    </row>
    <row r="690" customFormat="false" ht="15" hidden="false" customHeight="false" outlineLevel="0" collapsed="false">
      <c r="A690" s="6" t="s">
        <v>402</v>
      </c>
      <c r="B690" s="6" t="s">
        <v>3094</v>
      </c>
      <c r="C690" s="6" t="s">
        <v>2594</v>
      </c>
      <c r="D690" s="6" t="s">
        <v>2589</v>
      </c>
      <c r="E690" s="6" t="s">
        <v>2750</v>
      </c>
      <c r="F690" s="10" t="n">
        <v>-2531</v>
      </c>
      <c r="G690" s="10"/>
      <c r="H690" s="14" t="n">
        <v>0</v>
      </c>
      <c r="I690" s="9" t="s">
        <v>3084</v>
      </c>
      <c r="J690" s="6"/>
      <c r="K690" s="6"/>
      <c r="L690" s="9" t="s">
        <v>1962</v>
      </c>
    </row>
    <row r="691" customFormat="false" ht="15" hidden="false" customHeight="false" outlineLevel="0" collapsed="false">
      <c r="A691" s="6" t="s">
        <v>402</v>
      </c>
      <c r="B691" s="6" t="s">
        <v>3094</v>
      </c>
      <c r="C691" s="6" t="s">
        <v>2594</v>
      </c>
      <c r="D691" s="6" t="s">
        <v>2589</v>
      </c>
      <c r="E691" s="6" t="s">
        <v>2750</v>
      </c>
      <c r="F691" s="10" t="n">
        <v>-1280</v>
      </c>
      <c r="G691" s="10"/>
      <c r="H691" s="14" t="n">
        <v>0</v>
      </c>
      <c r="I691" s="9" t="s">
        <v>3085</v>
      </c>
      <c r="J691" s="6"/>
      <c r="K691" s="6"/>
      <c r="L691" s="9" t="s">
        <v>1962</v>
      </c>
    </row>
    <row r="692" customFormat="false" ht="15" hidden="false" customHeight="false" outlineLevel="0" collapsed="false">
      <c r="A692" s="6" t="s">
        <v>402</v>
      </c>
      <c r="B692" s="6" t="s">
        <v>3094</v>
      </c>
      <c r="C692" s="6" t="s">
        <v>2594</v>
      </c>
      <c r="D692" s="6" t="s">
        <v>2589</v>
      </c>
      <c r="E692" s="6" t="s">
        <v>2750</v>
      </c>
      <c r="F692" s="10" t="n">
        <v>-508</v>
      </c>
      <c r="G692" s="10"/>
      <c r="H692" s="14" t="n">
        <v>0</v>
      </c>
      <c r="I692" s="9" t="s">
        <v>3009</v>
      </c>
      <c r="J692" s="6"/>
      <c r="K692" s="6"/>
      <c r="L692" s="9" t="s">
        <v>1962</v>
      </c>
    </row>
    <row r="693" customFormat="false" ht="15" hidden="false" customHeight="false" outlineLevel="0" collapsed="false">
      <c r="A693" s="6" t="s">
        <v>402</v>
      </c>
      <c r="B693" s="6" t="s">
        <v>3094</v>
      </c>
      <c r="C693" s="6" t="s">
        <v>2594</v>
      </c>
      <c r="D693" s="6" t="s">
        <v>2589</v>
      </c>
      <c r="E693" s="6" t="s">
        <v>2750</v>
      </c>
      <c r="F693" s="10" t="n">
        <v>-3345</v>
      </c>
      <c r="G693" s="10"/>
      <c r="H693" s="14" t="n">
        <v>-0.01</v>
      </c>
      <c r="I693" s="9" t="s">
        <v>3086</v>
      </c>
      <c r="J693" s="6"/>
      <c r="K693" s="6"/>
      <c r="L693" s="9" t="s">
        <v>1962</v>
      </c>
    </row>
    <row r="694" customFormat="false" ht="15" hidden="false" customHeight="false" outlineLevel="0" collapsed="false">
      <c r="A694" s="6" t="s">
        <v>402</v>
      </c>
      <c r="B694" s="6" t="s">
        <v>3094</v>
      </c>
      <c r="C694" s="6" t="s">
        <v>2594</v>
      </c>
      <c r="D694" s="6" t="s">
        <v>2589</v>
      </c>
      <c r="E694" s="6" t="s">
        <v>2750</v>
      </c>
      <c r="F694" s="10" t="n">
        <v>3388</v>
      </c>
      <c r="G694" s="10"/>
      <c r="H694" s="14" t="n">
        <v>0.01</v>
      </c>
      <c r="I694" s="9" t="s">
        <v>3095</v>
      </c>
      <c r="J694" s="6"/>
      <c r="K694" s="6"/>
      <c r="L694" s="9" t="s">
        <v>1962</v>
      </c>
    </row>
    <row r="695" customFormat="false" ht="15" hidden="false" customHeight="false" outlineLevel="0" collapsed="false">
      <c r="A695" s="6" t="s">
        <v>402</v>
      </c>
      <c r="B695" s="6" t="s">
        <v>3096</v>
      </c>
      <c r="C695" s="6" t="s">
        <v>2594</v>
      </c>
      <c r="D695" s="6" t="s">
        <v>2589</v>
      </c>
      <c r="E695" s="6" t="s">
        <v>2854</v>
      </c>
      <c r="F695" s="10" t="n">
        <v>44151</v>
      </c>
      <c r="G695" s="10" t="n">
        <v>500000000</v>
      </c>
      <c r="H695" s="14" t="n">
        <v>0.08</v>
      </c>
      <c r="I695" s="9" t="s">
        <v>2805</v>
      </c>
      <c r="J695" s="6"/>
      <c r="K695" s="9" t="s">
        <v>2645</v>
      </c>
      <c r="L695" s="9" t="s">
        <v>1962</v>
      </c>
    </row>
    <row r="696" customFormat="false" ht="15" hidden="false" customHeight="false" outlineLevel="0" collapsed="false">
      <c r="A696" s="6" t="s">
        <v>402</v>
      </c>
      <c r="B696" s="6" t="s">
        <v>3039</v>
      </c>
      <c r="C696" s="6" t="s">
        <v>2604</v>
      </c>
      <c r="D696" s="6" t="s">
        <v>2589</v>
      </c>
      <c r="E696" s="6" t="s">
        <v>2750</v>
      </c>
      <c r="F696" s="10" t="n">
        <v>243665</v>
      </c>
      <c r="G696" s="10" t="n">
        <v>5000000000</v>
      </c>
      <c r="H696" s="14" t="n">
        <v>0.47</v>
      </c>
      <c r="I696" s="9" t="s">
        <v>3040</v>
      </c>
      <c r="J696" s="6"/>
      <c r="K696" s="9" t="s">
        <v>2645</v>
      </c>
      <c r="L696" s="9" t="s">
        <v>3097</v>
      </c>
    </row>
    <row r="697" customFormat="false" ht="15" hidden="false" customHeight="false" outlineLevel="0" collapsed="false">
      <c r="A697" s="6" t="s">
        <v>402</v>
      </c>
      <c r="B697" s="6" t="s">
        <v>3039</v>
      </c>
      <c r="C697" s="6" t="s">
        <v>2604</v>
      </c>
      <c r="D697" s="6" t="s">
        <v>2589</v>
      </c>
      <c r="E697" s="6" t="s">
        <v>2750</v>
      </c>
      <c r="F697" s="10" t="n">
        <v>91576</v>
      </c>
      <c r="G697" s="10"/>
      <c r="H697" s="14" t="n">
        <v>0.18</v>
      </c>
      <c r="I697" s="9" t="s">
        <v>3041</v>
      </c>
      <c r="J697" s="6"/>
      <c r="K697" s="6"/>
      <c r="L697" s="9" t="s">
        <v>3097</v>
      </c>
    </row>
    <row r="698" customFormat="false" ht="15" hidden="false" customHeight="false" outlineLevel="0" collapsed="false">
      <c r="A698" s="6" t="s">
        <v>402</v>
      </c>
      <c r="B698" s="6" t="s">
        <v>3039</v>
      </c>
      <c r="C698" s="6" t="s">
        <v>2604</v>
      </c>
      <c r="D698" s="6" t="s">
        <v>2589</v>
      </c>
      <c r="E698" s="6" t="s">
        <v>2750</v>
      </c>
      <c r="F698" s="10" t="n">
        <v>-140309</v>
      </c>
      <c r="G698" s="10"/>
      <c r="H698" s="14" t="n">
        <v>-0.27</v>
      </c>
      <c r="I698" s="9" t="s">
        <v>3042</v>
      </c>
      <c r="J698" s="6"/>
      <c r="K698" s="6"/>
      <c r="L698" s="9" t="s">
        <v>3097</v>
      </c>
    </row>
    <row r="699" customFormat="false" ht="15" hidden="false" customHeight="false" outlineLevel="0" collapsed="false">
      <c r="A699" s="6" t="s">
        <v>402</v>
      </c>
      <c r="B699" s="6" t="s">
        <v>3039</v>
      </c>
      <c r="C699" s="6" t="s">
        <v>2604</v>
      </c>
      <c r="D699" s="6" t="s">
        <v>2589</v>
      </c>
      <c r="E699" s="6" t="s">
        <v>2750</v>
      </c>
      <c r="F699" s="10" t="n">
        <v>-194932</v>
      </c>
      <c r="G699" s="10"/>
      <c r="H699" s="14" t="n">
        <v>-0.37</v>
      </c>
      <c r="I699" s="9" t="s">
        <v>3043</v>
      </c>
      <c r="J699" s="6"/>
      <c r="K699" s="6"/>
      <c r="L699" s="9" t="s">
        <v>3097</v>
      </c>
    </row>
    <row r="700" customFormat="false" ht="15" hidden="false" customHeight="false" outlineLevel="0" collapsed="false">
      <c r="A700" s="6" t="s">
        <v>402</v>
      </c>
      <c r="B700" s="6" t="s">
        <v>3039</v>
      </c>
      <c r="C700" s="6" t="s">
        <v>2604</v>
      </c>
      <c r="D700" s="6" t="s">
        <v>2589</v>
      </c>
      <c r="E700" s="6" t="s">
        <v>2750</v>
      </c>
      <c r="F700" s="10" t="n">
        <v>345623</v>
      </c>
      <c r="G700" s="10"/>
      <c r="H700" s="14" t="n">
        <v>0.66</v>
      </c>
      <c r="I700" s="9" t="s">
        <v>3043</v>
      </c>
      <c r="J700" s="6"/>
      <c r="K700" s="6"/>
      <c r="L700" s="9" t="s">
        <v>3097</v>
      </c>
    </row>
    <row r="701" customFormat="false" ht="15" hidden="false" customHeight="false" outlineLevel="0" collapsed="false">
      <c r="A701" s="6" t="s">
        <v>402</v>
      </c>
      <c r="B701" s="6" t="s">
        <v>3039</v>
      </c>
      <c r="C701" s="6" t="s">
        <v>2604</v>
      </c>
      <c r="D701" s="6" t="s">
        <v>2589</v>
      </c>
      <c r="E701" s="6" t="s">
        <v>2750</v>
      </c>
      <c r="F701" s="10" t="n">
        <v>100000</v>
      </c>
      <c r="G701" s="10"/>
      <c r="H701" s="14" t="n">
        <v>0.19</v>
      </c>
      <c r="I701" s="9" t="s">
        <v>3044</v>
      </c>
      <c r="J701" s="6"/>
      <c r="K701" s="6"/>
      <c r="L701" s="9" t="s">
        <v>3097</v>
      </c>
    </row>
    <row r="702" customFormat="false" ht="15" hidden="false" customHeight="false" outlineLevel="0" collapsed="false">
      <c r="A702" s="6" t="s">
        <v>402</v>
      </c>
      <c r="B702" s="6" t="s">
        <v>3039</v>
      </c>
      <c r="C702" s="6" t="s">
        <v>2604</v>
      </c>
      <c r="D702" s="6" t="s">
        <v>2589</v>
      </c>
      <c r="E702" s="6" t="s">
        <v>2750</v>
      </c>
      <c r="F702" s="10" t="n">
        <v>-153609</v>
      </c>
      <c r="G702" s="10"/>
      <c r="H702" s="14" t="n">
        <v>-0.29</v>
      </c>
      <c r="I702" s="9" t="s">
        <v>3045</v>
      </c>
      <c r="J702" s="6"/>
      <c r="K702" s="6"/>
      <c r="L702" s="9" t="s">
        <v>3097</v>
      </c>
    </row>
    <row r="703" customFormat="false" ht="15" hidden="false" customHeight="false" outlineLevel="0" collapsed="false">
      <c r="A703" s="6" t="s">
        <v>402</v>
      </c>
      <c r="B703" s="6" t="s">
        <v>3039</v>
      </c>
      <c r="C703" s="6" t="s">
        <v>2604</v>
      </c>
      <c r="D703" s="6" t="s">
        <v>2589</v>
      </c>
      <c r="E703" s="9" t="s">
        <v>3046</v>
      </c>
      <c r="F703" s="10" t="n">
        <v>250000</v>
      </c>
      <c r="G703" s="10" t="n">
        <v>7000000000</v>
      </c>
      <c r="H703" s="14" t="n">
        <v>0.48</v>
      </c>
      <c r="I703" s="9" t="s">
        <v>3047</v>
      </c>
      <c r="J703" s="6"/>
      <c r="K703" s="9" t="s">
        <v>2645</v>
      </c>
      <c r="L703" s="9" t="s">
        <v>3097</v>
      </c>
    </row>
    <row r="704" customFormat="false" ht="15" hidden="false" customHeight="false" outlineLevel="0" collapsed="false">
      <c r="A704" s="6" t="s">
        <v>402</v>
      </c>
      <c r="B704" s="6" t="s">
        <v>3039</v>
      </c>
      <c r="C704" s="6" t="s">
        <v>2604</v>
      </c>
      <c r="D704" s="6" t="s">
        <v>2589</v>
      </c>
      <c r="E704" s="9" t="s">
        <v>3046</v>
      </c>
      <c r="F704" s="10" t="n">
        <v>300000</v>
      </c>
      <c r="G704" s="10"/>
      <c r="H704" s="14" t="n">
        <v>0.57</v>
      </c>
      <c r="I704" s="9" t="s">
        <v>3048</v>
      </c>
      <c r="J704" s="6"/>
      <c r="K704" s="6"/>
      <c r="L704" s="9" t="s">
        <v>3097</v>
      </c>
    </row>
    <row r="705" customFormat="false" ht="15" hidden="false" customHeight="false" outlineLevel="0" collapsed="false">
      <c r="A705" s="6" t="s">
        <v>402</v>
      </c>
      <c r="B705" s="6" t="s">
        <v>3039</v>
      </c>
      <c r="C705" s="6" t="s">
        <v>2604</v>
      </c>
      <c r="D705" s="6" t="s">
        <v>2589</v>
      </c>
      <c r="E705" s="9" t="s">
        <v>3046</v>
      </c>
      <c r="F705" s="10" t="n">
        <v>60000</v>
      </c>
      <c r="G705" s="10"/>
      <c r="H705" s="14" t="n">
        <v>0.11</v>
      </c>
      <c r="I705" s="9" t="s">
        <v>3049</v>
      </c>
      <c r="J705" s="6"/>
      <c r="K705" s="6"/>
      <c r="L705" s="9" t="s">
        <v>3097</v>
      </c>
    </row>
    <row r="706" customFormat="false" ht="15" hidden="false" customHeight="false" outlineLevel="0" collapsed="false">
      <c r="A706" s="6" t="s">
        <v>402</v>
      </c>
      <c r="B706" s="6" t="s">
        <v>3039</v>
      </c>
      <c r="C706" s="6" t="s">
        <v>2604</v>
      </c>
      <c r="D706" s="6" t="s">
        <v>2589</v>
      </c>
      <c r="E706" s="9" t="s">
        <v>3046</v>
      </c>
      <c r="F706" s="10" t="n">
        <v>190000</v>
      </c>
      <c r="G706" s="10"/>
      <c r="H706" s="14" t="n">
        <v>0.36</v>
      </c>
      <c r="I706" s="9" t="s">
        <v>3050</v>
      </c>
      <c r="J706" s="6"/>
      <c r="K706" s="6"/>
      <c r="L706" s="9" t="s">
        <v>3097</v>
      </c>
    </row>
    <row r="707" customFormat="false" ht="15" hidden="false" customHeight="false" outlineLevel="0" collapsed="false">
      <c r="A707" s="6" t="s">
        <v>402</v>
      </c>
      <c r="B707" s="6" t="s">
        <v>3039</v>
      </c>
      <c r="C707" s="6" t="s">
        <v>2604</v>
      </c>
      <c r="D707" s="6" t="s">
        <v>2589</v>
      </c>
      <c r="E707" s="6" t="s">
        <v>217</v>
      </c>
      <c r="F707" s="10" t="n">
        <v>183151</v>
      </c>
      <c r="G707" s="10" t="n">
        <v>3000000000</v>
      </c>
      <c r="H707" s="14" t="n">
        <v>0.35</v>
      </c>
      <c r="I707" s="9" t="s">
        <v>3051</v>
      </c>
      <c r="J707" s="6"/>
      <c r="K707" s="9" t="s">
        <v>2645</v>
      </c>
      <c r="L707" s="9" t="s">
        <v>3097</v>
      </c>
    </row>
    <row r="708" customFormat="false" ht="15" hidden="false" customHeight="false" outlineLevel="0" collapsed="false">
      <c r="A708" s="6" t="s">
        <v>402</v>
      </c>
      <c r="B708" s="6" t="s">
        <v>3039</v>
      </c>
      <c r="C708" s="6" t="s">
        <v>2604</v>
      </c>
      <c r="D708" s="6" t="s">
        <v>2589</v>
      </c>
      <c r="E708" s="6" t="s">
        <v>3052</v>
      </c>
      <c r="F708" s="10" t="n">
        <v>280663</v>
      </c>
      <c r="G708" s="10" t="n">
        <v>5000000000</v>
      </c>
      <c r="H708" s="14" t="n">
        <v>0.54</v>
      </c>
      <c r="I708" s="9" t="s">
        <v>3053</v>
      </c>
      <c r="J708" s="6"/>
      <c r="K708" s="9" t="s">
        <v>2645</v>
      </c>
      <c r="L708" s="9" t="s">
        <v>3097</v>
      </c>
    </row>
    <row r="709" customFormat="false" ht="15" hidden="false" customHeight="false" outlineLevel="0" collapsed="false">
      <c r="A709" s="6" t="s">
        <v>402</v>
      </c>
      <c r="B709" s="6" t="s">
        <v>3054</v>
      </c>
      <c r="C709" s="6" t="s">
        <v>2594</v>
      </c>
      <c r="D709" s="6" t="s">
        <v>2589</v>
      </c>
      <c r="E709" s="6" t="s">
        <v>2750</v>
      </c>
      <c r="F709" s="10" t="n">
        <v>176134</v>
      </c>
      <c r="G709" s="10" t="n">
        <v>4999930900</v>
      </c>
      <c r="H709" s="14" t="n">
        <v>0.34</v>
      </c>
      <c r="I709" s="9" t="s">
        <v>3055</v>
      </c>
      <c r="J709" s="6"/>
      <c r="K709" s="9" t="s">
        <v>2645</v>
      </c>
      <c r="L709" s="9" t="s">
        <v>3097</v>
      </c>
    </row>
    <row r="710" customFormat="false" ht="15" hidden="false" customHeight="false" outlineLevel="0" collapsed="false">
      <c r="A710" s="6" t="s">
        <v>402</v>
      </c>
      <c r="B710" s="6" t="s">
        <v>3054</v>
      </c>
      <c r="C710" s="6" t="s">
        <v>2594</v>
      </c>
      <c r="D710" s="6" t="s">
        <v>2589</v>
      </c>
      <c r="E710" s="6" t="s">
        <v>2750</v>
      </c>
      <c r="F710" s="10" t="n">
        <v>-44034</v>
      </c>
      <c r="G710" s="10"/>
      <c r="H710" s="14" t="n">
        <v>-0.08</v>
      </c>
      <c r="I710" s="9" t="s">
        <v>3056</v>
      </c>
      <c r="J710" s="6"/>
      <c r="K710" s="6"/>
      <c r="L710" s="9" t="s">
        <v>3097</v>
      </c>
    </row>
    <row r="711" customFormat="false" ht="15" hidden="false" customHeight="false" outlineLevel="0" collapsed="false">
      <c r="A711" s="6" t="s">
        <v>402</v>
      </c>
      <c r="B711" s="6" t="s">
        <v>3054</v>
      </c>
      <c r="C711" s="6" t="s">
        <v>2594</v>
      </c>
      <c r="D711" s="6" t="s">
        <v>2589</v>
      </c>
      <c r="E711" s="6" t="s">
        <v>2750</v>
      </c>
      <c r="F711" s="10" t="n">
        <v>4961</v>
      </c>
      <c r="G711" s="10"/>
      <c r="H711" s="14" t="n">
        <v>0.01</v>
      </c>
      <c r="I711" s="9" t="s">
        <v>3057</v>
      </c>
      <c r="J711" s="6"/>
      <c r="K711" s="6"/>
      <c r="L711" s="9" t="s">
        <v>3097</v>
      </c>
    </row>
    <row r="712" customFormat="false" ht="15" hidden="false" customHeight="false" outlineLevel="0" collapsed="false">
      <c r="A712" s="6" t="s">
        <v>402</v>
      </c>
      <c r="B712" s="6" t="s">
        <v>3054</v>
      </c>
      <c r="C712" s="6" t="s">
        <v>2594</v>
      </c>
      <c r="D712" s="6" t="s">
        <v>2589</v>
      </c>
      <c r="E712" s="6" t="s">
        <v>2750</v>
      </c>
      <c r="F712" s="10" t="n">
        <v>57018</v>
      </c>
      <c r="G712" s="10"/>
      <c r="H712" s="14" t="n">
        <v>0.11</v>
      </c>
      <c r="I712" s="9" t="s">
        <v>3058</v>
      </c>
      <c r="J712" s="6"/>
      <c r="K712" s="6"/>
      <c r="L712" s="9" t="s">
        <v>3097</v>
      </c>
    </row>
    <row r="713" customFormat="false" ht="15" hidden="false" customHeight="false" outlineLevel="0" collapsed="false">
      <c r="A713" s="6" t="s">
        <v>402</v>
      </c>
      <c r="B713" s="6" t="s">
        <v>3054</v>
      </c>
      <c r="C713" s="6" t="s">
        <v>2594</v>
      </c>
      <c r="D713" s="6" t="s">
        <v>2589</v>
      </c>
      <c r="E713" s="6" t="s">
        <v>2750</v>
      </c>
      <c r="F713" s="10" t="n">
        <v>5082</v>
      </c>
      <c r="G713" s="10"/>
      <c r="H713" s="14" t="n">
        <v>0.01</v>
      </c>
      <c r="I713" s="9" t="s">
        <v>3059</v>
      </c>
      <c r="J713" s="6"/>
      <c r="K713" s="6"/>
      <c r="L713" s="9" t="s">
        <v>3097</v>
      </c>
    </row>
    <row r="714" customFormat="false" ht="15" hidden="false" customHeight="false" outlineLevel="0" collapsed="false">
      <c r="A714" s="6" t="s">
        <v>402</v>
      </c>
      <c r="B714" s="6" t="s">
        <v>3054</v>
      </c>
      <c r="C714" s="6" t="s">
        <v>2594</v>
      </c>
      <c r="D714" s="6" t="s">
        <v>2589</v>
      </c>
      <c r="E714" s="6" t="s">
        <v>2750</v>
      </c>
      <c r="F714" s="10" t="n">
        <v>-88067</v>
      </c>
      <c r="G714" s="10"/>
      <c r="H714" s="14" t="n">
        <v>-0.17</v>
      </c>
      <c r="I714" s="9" t="s">
        <v>3060</v>
      </c>
      <c r="J714" s="6"/>
      <c r="K714" s="6"/>
      <c r="L714" s="9" t="s">
        <v>3097</v>
      </c>
    </row>
    <row r="715" customFormat="false" ht="15" hidden="false" customHeight="false" outlineLevel="0" collapsed="false">
      <c r="A715" s="6" t="s">
        <v>402</v>
      </c>
      <c r="B715" s="6" t="s">
        <v>3054</v>
      </c>
      <c r="C715" s="6" t="s">
        <v>2594</v>
      </c>
      <c r="D715" s="6" t="s">
        <v>2589</v>
      </c>
      <c r="E715" s="6" t="s">
        <v>2750</v>
      </c>
      <c r="F715" s="10" t="n">
        <v>-44033</v>
      </c>
      <c r="G715" s="10"/>
      <c r="H715" s="14" t="n">
        <v>-0.08</v>
      </c>
      <c r="I715" s="9" t="s">
        <v>3061</v>
      </c>
      <c r="J715" s="6"/>
      <c r="K715" s="6"/>
      <c r="L715" s="9" t="s">
        <v>3097</v>
      </c>
    </row>
    <row r="716" customFormat="false" ht="15" hidden="false" customHeight="false" outlineLevel="0" collapsed="false">
      <c r="A716" s="6" t="s">
        <v>402</v>
      </c>
      <c r="B716" s="6" t="s">
        <v>3054</v>
      </c>
      <c r="C716" s="6" t="s">
        <v>2594</v>
      </c>
      <c r="D716" s="6" t="s">
        <v>2589</v>
      </c>
      <c r="E716" s="6" t="s">
        <v>2750</v>
      </c>
      <c r="F716" s="10" t="n">
        <v>-36297</v>
      </c>
      <c r="G716" s="10"/>
      <c r="H716" s="14" t="n">
        <v>-0.07</v>
      </c>
      <c r="I716" s="9" t="s">
        <v>3061</v>
      </c>
      <c r="J716" s="6"/>
      <c r="K716" s="6"/>
      <c r="L716" s="9" t="s">
        <v>3097</v>
      </c>
    </row>
    <row r="717" customFormat="false" ht="15" hidden="false" customHeight="false" outlineLevel="0" collapsed="false">
      <c r="A717" s="6" t="s">
        <v>402</v>
      </c>
      <c r="B717" s="6" t="s">
        <v>3054</v>
      </c>
      <c r="C717" s="6" t="s">
        <v>2594</v>
      </c>
      <c r="D717" s="6" t="s">
        <v>2589</v>
      </c>
      <c r="E717" s="6" t="s">
        <v>2750</v>
      </c>
      <c r="F717" s="10" t="n">
        <v>7508</v>
      </c>
      <c r="G717" s="10"/>
      <c r="H717" s="14" t="n">
        <v>0.01</v>
      </c>
      <c r="I717" s="9" t="s">
        <v>3062</v>
      </c>
      <c r="J717" s="6"/>
      <c r="K717" s="6"/>
      <c r="L717" s="9" t="s">
        <v>3097</v>
      </c>
    </row>
    <row r="718" customFormat="false" ht="15" hidden="false" customHeight="false" outlineLevel="0" collapsed="false">
      <c r="A718" s="6" t="s">
        <v>402</v>
      </c>
      <c r="B718" s="6" t="s">
        <v>3054</v>
      </c>
      <c r="C718" s="6" t="s">
        <v>2594</v>
      </c>
      <c r="D718" s="6" t="s">
        <v>2589</v>
      </c>
      <c r="E718" s="6" t="s">
        <v>2750</v>
      </c>
      <c r="F718" s="10" t="n">
        <v>3505</v>
      </c>
      <c r="G718" s="10"/>
      <c r="H718" s="14" t="n">
        <v>0.01</v>
      </c>
      <c r="I718" s="9" t="s">
        <v>3063</v>
      </c>
      <c r="J718" s="6"/>
      <c r="K718" s="6"/>
      <c r="L718" s="9" t="s">
        <v>3097</v>
      </c>
    </row>
    <row r="719" customFormat="false" ht="15" hidden="false" customHeight="false" outlineLevel="0" collapsed="false">
      <c r="A719" s="6" t="s">
        <v>402</v>
      </c>
      <c r="B719" s="6" t="s">
        <v>3054</v>
      </c>
      <c r="C719" s="6" t="s">
        <v>2594</v>
      </c>
      <c r="D719" s="6" t="s">
        <v>2589</v>
      </c>
      <c r="E719" s="6" t="s">
        <v>2750</v>
      </c>
      <c r="F719" s="10" t="n">
        <v>2980</v>
      </c>
      <c r="G719" s="10"/>
      <c r="H719" s="14" t="n">
        <v>0.01</v>
      </c>
      <c r="I719" s="9" t="s">
        <v>3064</v>
      </c>
      <c r="J719" s="6"/>
      <c r="K719" s="6"/>
      <c r="L719" s="9" t="s">
        <v>3097</v>
      </c>
    </row>
    <row r="720" customFormat="false" ht="15" hidden="false" customHeight="false" outlineLevel="0" collapsed="false">
      <c r="A720" s="6" t="s">
        <v>402</v>
      </c>
      <c r="B720" s="6" t="s">
        <v>3054</v>
      </c>
      <c r="C720" s="6" t="s">
        <v>2594</v>
      </c>
      <c r="D720" s="6" t="s">
        <v>2589</v>
      </c>
      <c r="E720" s="6" t="s">
        <v>2750</v>
      </c>
      <c r="F720" s="10" t="n">
        <v>9568</v>
      </c>
      <c r="G720" s="10"/>
      <c r="H720" s="14" t="n">
        <v>0.02</v>
      </c>
      <c r="I720" s="9" t="s">
        <v>3065</v>
      </c>
      <c r="J720" s="6"/>
      <c r="K720" s="6"/>
      <c r="L720" s="9" t="s">
        <v>3097</v>
      </c>
    </row>
    <row r="721" customFormat="false" ht="15" hidden="false" customHeight="false" outlineLevel="0" collapsed="false">
      <c r="A721" s="6" t="s">
        <v>402</v>
      </c>
      <c r="B721" s="6" t="s">
        <v>3054</v>
      </c>
      <c r="C721" s="6" t="s">
        <v>2594</v>
      </c>
      <c r="D721" s="6" t="s">
        <v>2589</v>
      </c>
      <c r="E721" s="6" t="s">
        <v>2750</v>
      </c>
      <c r="F721" s="10" t="n">
        <v>4931</v>
      </c>
      <c r="G721" s="10"/>
      <c r="H721" s="14" t="n">
        <v>0.01</v>
      </c>
      <c r="I721" s="9" t="s">
        <v>3066</v>
      </c>
      <c r="J721" s="6"/>
      <c r="K721" s="6"/>
      <c r="L721" s="9" t="s">
        <v>3097</v>
      </c>
    </row>
    <row r="722" customFormat="false" ht="15" hidden="false" customHeight="false" outlineLevel="0" collapsed="false">
      <c r="A722" s="6" t="s">
        <v>402</v>
      </c>
      <c r="B722" s="6" t="s">
        <v>3054</v>
      </c>
      <c r="C722" s="6" t="s">
        <v>2594</v>
      </c>
      <c r="D722" s="6" t="s">
        <v>2589</v>
      </c>
      <c r="E722" s="6" t="s">
        <v>2750</v>
      </c>
      <c r="F722" s="10" t="n">
        <v>9747</v>
      </c>
      <c r="G722" s="10"/>
      <c r="H722" s="14" t="n">
        <v>0.02</v>
      </c>
      <c r="I722" s="9" t="s">
        <v>2804</v>
      </c>
      <c r="J722" s="6"/>
      <c r="K722" s="6"/>
      <c r="L722" s="9" t="s">
        <v>3097</v>
      </c>
    </row>
    <row r="723" customFormat="false" ht="15" hidden="false" customHeight="false" outlineLevel="0" collapsed="false">
      <c r="A723" s="6" t="s">
        <v>402</v>
      </c>
      <c r="B723" s="6" t="s">
        <v>3054</v>
      </c>
      <c r="C723" s="6" t="s">
        <v>2594</v>
      </c>
      <c r="D723" s="6" t="s">
        <v>2589</v>
      </c>
      <c r="E723" s="6" t="s">
        <v>2750</v>
      </c>
      <c r="F723" s="10" t="n">
        <v>6196</v>
      </c>
      <c r="G723" s="10"/>
      <c r="H723" s="14" t="n">
        <v>0.01</v>
      </c>
      <c r="I723" s="9" t="s">
        <v>3067</v>
      </c>
      <c r="J723" s="6"/>
      <c r="K723" s="6"/>
      <c r="L723" s="9" t="s">
        <v>3097</v>
      </c>
    </row>
    <row r="724" customFormat="false" ht="15" hidden="false" customHeight="false" outlineLevel="0" collapsed="false">
      <c r="A724" s="6" t="s">
        <v>402</v>
      </c>
      <c r="B724" s="6" t="s">
        <v>3054</v>
      </c>
      <c r="C724" s="6" t="s">
        <v>2594</v>
      </c>
      <c r="D724" s="6" t="s">
        <v>2589</v>
      </c>
      <c r="E724" s="6" t="s">
        <v>2750</v>
      </c>
      <c r="F724" s="10" t="n">
        <v>12255</v>
      </c>
      <c r="G724" s="10"/>
      <c r="H724" s="14" t="n">
        <v>0.02</v>
      </c>
      <c r="I724" s="9" t="s">
        <v>3068</v>
      </c>
      <c r="J724" s="6"/>
      <c r="K724" s="6"/>
      <c r="L724" s="9" t="s">
        <v>3097</v>
      </c>
    </row>
    <row r="725" customFormat="false" ht="15" hidden="false" customHeight="false" outlineLevel="0" collapsed="false">
      <c r="A725" s="6" t="s">
        <v>402</v>
      </c>
      <c r="B725" s="6" t="s">
        <v>3054</v>
      </c>
      <c r="C725" s="6" t="s">
        <v>2594</v>
      </c>
      <c r="D725" s="6" t="s">
        <v>2589</v>
      </c>
      <c r="E725" s="6" t="s">
        <v>2750</v>
      </c>
      <c r="F725" s="10" t="n">
        <v>18553</v>
      </c>
      <c r="G725" s="10"/>
      <c r="H725" s="14" t="n">
        <v>0.04</v>
      </c>
      <c r="I725" s="9" t="s">
        <v>3069</v>
      </c>
      <c r="J725" s="6"/>
      <c r="K725" s="6"/>
      <c r="L725" s="9" t="s">
        <v>3097</v>
      </c>
    </row>
    <row r="726" customFormat="false" ht="15" hidden="false" customHeight="false" outlineLevel="0" collapsed="false">
      <c r="A726" s="6" t="s">
        <v>402</v>
      </c>
      <c r="B726" s="6" t="s">
        <v>3054</v>
      </c>
      <c r="C726" s="6" t="s">
        <v>2594</v>
      </c>
      <c r="D726" s="6" t="s">
        <v>2589</v>
      </c>
      <c r="E726" s="6" t="s">
        <v>2750</v>
      </c>
      <c r="F726" s="10" t="n">
        <v>220152</v>
      </c>
      <c r="G726" s="10"/>
      <c r="H726" s="14" t="n">
        <v>0.42</v>
      </c>
      <c r="I726" s="9" t="s">
        <v>3070</v>
      </c>
      <c r="J726" s="6"/>
      <c r="K726" s="6"/>
      <c r="L726" s="9" t="s">
        <v>3097</v>
      </c>
    </row>
    <row r="727" customFormat="false" ht="15" hidden="false" customHeight="false" outlineLevel="0" collapsed="false">
      <c r="A727" s="6" t="s">
        <v>402</v>
      </c>
      <c r="B727" s="6" t="s">
        <v>3054</v>
      </c>
      <c r="C727" s="6" t="s">
        <v>2594</v>
      </c>
      <c r="D727" s="6" t="s">
        <v>2589</v>
      </c>
      <c r="E727" s="6" t="s">
        <v>2750</v>
      </c>
      <c r="F727" s="10" t="n">
        <v>27478</v>
      </c>
      <c r="G727" s="10"/>
      <c r="H727" s="14" t="n">
        <v>0.05</v>
      </c>
      <c r="I727" s="9" t="s">
        <v>3045</v>
      </c>
      <c r="J727" s="6"/>
      <c r="K727" s="6"/>
      <c r="L727" s="9" t="s">
        <v>3097</v>
      </c>
    </row>
    <row r="728" customFormat="false" ht="15" hidden="false" customHeight="false" outlineLevel="0" collapsed="false">
      <c r="A728" s="6" t="s">
        <v>402</v>
      </c>
      <c r="B728" s="6" t="s">
        <v>3054</v>
      </c>
      <c r="C728" s="6" t="s">
        <v>2594</v>
      </c>
      <c r="D728" s="6" t="s">
        <v>2589</v>
      </c>
      <c r="E728" s="6" t="s">
        <v>2750</v>
      </c>
      <c r="F728" s="10" t="n">
        <v>-26199</v>
      </c>
      <c r="G728" s="10"/>
      <c r="H728" s="14" t="n">
        <v>-0.05</v>
      </c>
      <c r="I728" s="9" t="s">
        <v>3071</v>
      </c>
      <c r="J728" s="6"/>
      <c r="K728" s="6"/>
      <c r="L728" s="9" t="s">
        <v>3097</v>
      </c>
    </row>
    <row r="729" customFormat="false" ht="15" hidden="false" customHeight="false" outlineLevel="0" collapsed="false">
      <c r="A729" s="6" t="s">
        <v>402</v>
      </c>
      <c r="B729" s="6" t="s">
        <v>3054</v>
      </c>
      <c r="C729" s="6" t="s">
        <v>2594</v>
      </c>
      <c r="D729" s="6" t="s">
        <v>2589</v>
      </c>
      <c r="E729" s="9" t="s">
        <v>3046</v>
      </c>
      <c r="F729" s="10" t="n">
        <v>120000</v>
      </c>
      <c r="G729" s="10" t="n">
        <v>2000000000</v>
      </c>
      <c r="H729" s="14" t="n">
        <v>0.23</v>
      </c>
      <c r="I729" s="9" t="s">
        <v>3072</v>
      </c>
      <c r="J729" s="6"/>
      <c r="K729" s="9" t="s">
        <v>2645</v>
      </c>
      <c r="L729" s="9" t="s">
        <v>3097</v>
      </c>
    </row>
    <row r="730" customFormat="false" ht="15" hidden="false" customHeight="false" outlineLevel="0" collapsed="false">
      <c r="A730" s="6" t="s">
        <v>402</v>
      </c>
      <c r="B730" s="6" t="s">
        <v>3054</v>
      </c>
      <c r="C730" s="6" t="s">
        <v>2594</v>
      </c>
      <c r="D730" s="6" t="s">
        <v>2589</v>
      </c>
      <c r="E730" s="6" t="s">
        <v>2950</v>
      </c>
      <c r="F730" s="10" t="n">
        <v>76200</v>
      </c>
      <c r="G730" s="10" t="n">
        <v>5000000000</v>
      </c>
      <c r="H730" s="14" t="n">
        <v>0.15</v>
      </c>
      <c r="I730" s="9" t="s">
        <v>3073</v>
      </c>
      <c r="J730" s="6"/>
      <c r="K730" s="9" t="s">
        <v>2645</v>
      </c>
      <c r="L730" s="9" t="s">
        <v>3097</v>
      </c>
    </row>
    <row r="731" customFormat="false" ht="15" hidden="false" customHeight="false" outlineLevel="0" collapsed="false">
      <c r="A731" s="6" t="s">
        <v>402</v>
      </c>
      <c r="B731" s="6" t="s">
        <v>3054</v>
      </c>
      <c r="C731" s="6" t="s">
        <v>2594</v>
      </c>
      <c r="D731" s="6" t="s">
        <v>2589</v>
      </c>
      <c r="E731" s="6" t="s">
        <v>2950</v>
      </c>
      <c r="F731" s="10" t="n">
        <v>153000</v>
      </c>
      <c r="G731" s="10"/>
      <c r="H731" s="14" t="n">
        <v>0.29</v>
      </c>
      <c r="I731" s="9" t="s">
        <v>2999</v>
      </c>
      <c r="J731" s="6"/>
      <c r="K731" s="6"/>
      <c r="L731" s="9" t="s">
        <v>3097</v>
      </c>
    </row>
    <row r="732" customFormat="false" ht="15" hidden="false" customHeight="false" outlineLevel="0" collapsed="false">
      <c r="A732" s="6" t="s">
        <v>402</v>
      </c>
      <c r="B732" s="6" t="s">
        <v>3054</v>
      </c>
      <c r="C732" s="6" t="s">
        <v>2594</v>
      </c>
      <c r="D732" s="6" t="s">
        <v>2589</v>
      </c>
      <c r="E732" s="6" t="s">
        <v>2950</v>
      </c>
      <c r="F732" s="10" t="n">
        <v>115000</v>
      </c>
      <c r="G732" s="10"/>
      <c r="H732" s="14" t="n">
        <v>0.22</v>
      </c>
      <c r="I732" s="9" t="s">
        <v>3074</v>
      </c>
      <c r="J732" s="6"/>
      <c r="K732" s="6"/>
      <c r="L732" s="9" t="s">
        <v>3097</v>
      </c>
    </row>
    <row r="733" customFormat="false" ht="15" hidden="false" customHeight="false" outlineLevel="0" collapsed="false">
      <c r="A733" s="6" t="s">
        <v>402</v>
      </c>
      <c r="B733" s="6" t="s">
        <v>3075</v>
      </c>
      <c r="C733" s="6" t="s">
        <v>2594</v>
      </c>
      <c r="D733" s="6" t="s">
        <v>2641</v>
      </c>
      <c r="E733" s="6" t="s">
        <v>3039</v>
      </c>
      <c r="F733" s="10" t="n">
        <v>140000</v>
      </c>
      <c r="G733" s="10"/>
      <c r="H733" s="14" t="n">
        <v>0.27</v>
      </c>
      <c r="I733" s="9" t="s">
        <v>3001</v>
      </c>
      <c r="J733" s="6"/>
      <c r="K733" s="6"/>
      <c r="L733" s="9" t="s">
        <v>3097</v>
      </c>
    </row>
    <row r="734" customFormat="false" ht="15" hidden="false" customHeight="false" outlineLevel="0" collapsed="false">
      <c r="A734" s="6" t="s">
        <v>402</v>
      </c>
      <c r="B734" s="6" t="s">
        <v>3075</v>
      </c>
      <c r="C734" s="6" t="s">
        <v>2594</v>
      </c>
      <c r="D734" s="6" t="s">
        <v>2641</v>
      </c>
      <c r="E734" s="6" t="s">
        <v>3039</v>
      </c>
      <c r="F734" s="10" t="n">
        <v>-20000</v>
      </c>
      <c r="G734" s="10"/>
      <c r="H734" s="14" t="n">
        <v>-0.04</v>
      </c>
      <c r="I734" s="9" t="s">
        <v>3076</v>
      </c>
      <c r="J734" s="6"/>
      <c r="K734" s="6"/>
      <c r="L734" s="9" t="s">
        <v>3097</v>
      </c>
    </row>
    <row r="735" customFormat="false" ht="15" hidden="false" customHeight="false" outlineLevel="0" collapsed="false">
      <c r="A735" s="6" t="s">
        <v>402</v>
      </c>
      <c r="B735" s="6" t="s">
        <v>3077</v>
      </c>
      <c r="C735" s="6" t="s">
        <v>2594</v>
      </c>
      <c r="D735" s="6" t="s">
        <v>2589</v>
      </c>
      <c r="E735" s="9" t="s">
        <v>3046</v>
      </c>
      <c r="F735" s="10" t="n">
        <v>200000</v>
      </c>
      <c r="G735" s="10" t="n">
        <v>2820000000</v>
      </c>
      <c r="H735" s="14" t="n">
        <v>0.38</v>
      </c>
      <c r="I735" s="9" t="s">
        <v>3078</v>
      </c>
      <c r="J735" s="6"/>
      <c r="K735" s="9" t="s">
        <v>2645</v>
      </c>
      <c r="L735" s="9" t="s">
        <v>3097</v>
      </c>
    </row>
    <row r="736" customFormat="false" ht="15" hidden="false" customHeight="false" outlineLevel="0" collapsed="false">
      <c r="A736" s="6" t="s">
        <v>402</v>
      </c>
      <c r="B736" s="6" t="s">
        <v>3079</v>
      </c>
      <c r="C736" s="6" t="s">
        <v>2594</v>
      </c>
      <c r="D736" s="6" t="s">
        <v>2589</v>
      </c>
      <c r="E736" s="9" t="s">
        <v>3046</v>
      </c>
      <c r="F736" s="10" t="n">
        <v>100000</v>
      </c>
      <c r="G736" s="10" t="n">
        <v>1410000000</v>
      </c>
      <c r="H736" s="14" t="n">
        <v>0.19</v>
      </c>
      <c r="I736" s="9" t="s">
        <v>3078</v>
      </c>
      <c r="J736" s="6"/>
      <c r="K736" s="9" t="s">
        <v>2645</v>
      </c>
      <c r="L736" s="9" t="s">
        <v>3097</v>
      </c>
    </row>
    <row r="737" customFormat="false" ht="15" hidden="false" customHeight="false" outlineLevel="0" collapsed="false">
      <c r="A737" s="6" t="s">
        <v>402</v>
      </c>
      <c r="B737" s="6" t="s">
        <v>3080</v>
      </c>
      <c r="C737" s="6" t="s">
        <v>2594</v>
      </c>
      <c r="D737" s="6" t="s">
        <v>2589</v>
      </c>
      <c r="E737" s="9" t="s">
        <v>3046</v>
      </c>
      <c r="F737" s="10" t="n">
        <v>100000</v>
      </c>
      <c r="G737" s="10" t="n">
        <v>1410000000</v>
      </c>
      <c r="H737" s="14" t="n">
        <v>0.19</v>
      </c>
      <c r="I737" s="9" t="s">
        <v>3078</v>
      </c>
      <c r="J737" s="6"/>
      <c r="K737" s="9" t="s">
        <v>2645</v>
      </c>
      <c r="L737" s="9" t="s">
        <v>3097</v>
      </c>
    </row>
    <row r="738" customFormat="false" ht="15" hidden="false" customHeight="false" outlineLevel="0" collapsed="false">
      <c r="A738" s="6" t="s">
        <v>402</v>
      </c>
      <c r="B738" s="6" t="s">
        <v>3081</v>
      </c>
      <c r="C738" s="6" t="s">
        <v>2594</v>
      </c>
      <c r="D738" s="6" t="s">
        <v>2589</v>
      </c>
      <c r="E738" s="6" t="s">
        <v>2750</v>
      </c>
      <c r="F738" s="10" t="n">
        <v>6352</v>
      </c>
      <c r="G738" s="10" t="n">
        <v>250000000</v>
      </c>
      <c r="H738" s="14" t="n">
        <v>0.01</v>
      </c>
      <c r="I738" s="9" t="s">
        <v>3082</v>
      </c>
      <c r="J738" s="6"/>
      <c r="K738" s="9" t="s">
        <v>2645</v>
      </c>
      <c r="L738" s="9" t="s">
        <v>3097</v>
      </c>
    </row>
    <row r="739" customFormat="false" ht="15" hidden="false" customHeight="false" outlineLevel="0" collapsed="false">
      <c r="A739" s="6" t="s">
        <v>402</v>
      </c>
      <c r="B739" s="6" t="s">
        <v>3081</v>
      </c>
      <c r="C739" s="6" t="s">
        <v>2594</v>
      </c>
      <c r="D739" s="6" t="s">
        <v>2589</v>
      </c>
      <c r="E739" s="6" t="s">
        <v>2750</v>
      </c>
      <c r="F739" s="10" t="n">
        <v>6562</v>
      </c>
      <c r="G739" s="10"/>
      <c r="H739" s="14" t="n">
        <v>0.01</v>
      </c>
      <c r="I739" s="9" t="s">
        <v>3083</v>
      </c>
      <c r="J739" s="6"/>
      <c r="K739" s="6"/>
      <c r="L739" s="9" t="s">
        <v>3097</v>
      </c>
    </row>
    <row r="740" customFormat="false" ht="15" hidden="false" customHeight="false" outlineLevel="0" collapsed="false">
      <c r="A740" s="6" t="s">
        <v>402</v>
      </c>
      <c r="B740" s="6" t="s">
        <v>3081</v>
      </c>
      <c r="C740" s="6" t="s">
        <v>2594</v>
      </c>
      <c r="D740" s="6" t="s">
        <v>2589</v>
      </c>
      <c r="E740" s="6" t="s">
        <v>2750</v>
      </c>
      <c r="F740" s="10" t="n">
        <v>-2531</v>
      </c>
      <c r="G740" s="10"/>
      <c r="H740" s="14" t="n">
        <v>0</v>
      </c>
      <c r="I740" s="9" t="s">
        <v>3084</v>
      </c>
      <c r="J740" s="6"/>
      <c r="K740" s="6"/>
      <c r="L740" s="9" t="s">
        <v>3097</v>
      </c>
    </row>
    <row r="741" customFormat="false" ht="15" hidden="false" customHeight="false" outlineLevel="0" collapsed="false">
      <c r="A741" s="6" t="s">
        <v>402</v>
      </c>
      <c r="B741" s="6" t="s">
        <v>3081</v>
      </c>
      <c r="C741" s="6" t="s">
        <v>2594</v>
      </c>
      <c r="D741" s="6" t="s">
        <v>2589</v>
      </c>
      <c r="E741" s="6" t="s">
        <v>2750</v>
      </c>
      <c r="F741" s="10" t="n">
        <v>-1280</v>
      </c>
      <c r="G741" s="10"/>
      <c r="H741" s="14" t="n">
        <v>0</v>
      </c>
      <c r="I741" s="9" t="s">
        <v>3085</v>
      </c>
      <c r="J741" s="6"/>
      <c r="K741" s="6"/>
      <c r="L741" s="9" t="s">
        <v>3097</v>
      </c>
    </row>
    <row r="742" customFormat="false" ht="15" hidden="false" customHeight="false" outlineLevel="0" collapsed="false">
      <c r="A742" s="6" t="s">
        <v>402</v>
      </c>
      <c r="B742" s="6" t="s">
        <v>3081</v>
      </c>
      <c r="C742" s="6" t="s">
        <v>2594</v>
      </c>
      <c r="D742" s="6" t="s">
        <v>2589</v>
      </c>
      <c r="E742" s="6" t="s">
        <v>2750</v>
      </c>
      <c r="F742" s="10" t="n">
        <v>-508</v>
      </c>
      <c r="G742" s="10"/>
      <c r="H742" s="14" t="n">
        <v>0</v>
      </c>
      <c r="I742" s="9" t="s">
        <v>3009</v>
      </c>
      <c r="J742" s="6"/>
      <c r="K742" s="6"/>
      <c r="L742" s="9" t="s">
        <v>3097</v>
      </c>
    </row>
    <row r="743" customFormat="false" ht="15" hidden="false" customHeight="false" outlineLevel="0" collapsed="false">
      <c r="A743" s="6" t="s">
        <v>402</v>
      </c>
      <c r="B743" s="6" t="s">
        <v>3081</v>
      </c>
      <c r="C743" s="6" t="s">
        <v>2594</v>
      </c>
      <c r="D743" s="6" t="s">
        <v>2589</v>
      </c>
      <c r="E743" s="6" t="s">
        <v>2750</v>
      </c>
      <c r="F743" s="10" t="n">
        <v>-3345</v>
      </c>
      <c r="G743" s="10"/>
      <c r="H743" s="14" t="n">
        <v>-0.01</v>
      </c>
      <c r="I743" s="9" t="s">
        <v>3086</v>
      </c>
      <c r="J743" s="6"/>
      <c r="K743" s="6"/>
      <c r="L743" s="9" t="s">
        <v>3097</v>
      </c>
    </row>
    <row r="744" customFormat="false" ht="15" hidden="false" customHeight="false" outlineLevel="0" collapsed="false">
      <c r="A744" s="6" t="s">
        <v>402</v>
      </c>
      <c r="B744" s="6" t="s">
        <v>3081</v>
      </c>
      <c r="C744" s="6" t="s">
        <v>2594</v>
      </c>
      <c r="D744" s="6" t="s">
        <v>2589</v>
      </c>
      <c r="E744" s="6" t="s">
        <v>2750</v>
      </c>
      <c r="F744" s="10" t="n">
        <v>3116</v>
      </c>
      <c r="G744" s="10"/>
      <c r="H744" s="14" t="n">
        <v>0.01</v>
      </c>
      <c r="I744" s="9" t="s">
        <v>3087</v>
      </c>
      <c r="J744" s="6"/>
      <c r="K744" s="6"/>
      <c r="L744" s="9" t="s">
        <v>3097</v>
      </c>
    </row>
    <row r="745" customFormat="false" ht="15" hidden="false" customHeight="false" outlineLevel="0" collapsed="false">
      <c r="A745" s="6" t="s">
        <v>402</v>
      </c>
      <c r="B745" s="6" t="s">
        <v>3088</v>
      </c>
      <c r="C745" s="6" t="s">
        <v>2594</v>
      </c>
      <c r="D745" s="6" t="s">
        <v>2589</v>
      </c>
      <c r="E745" s="6" t="s">
        <v>2750</v>
      </c>
      <c r="F745" s="10" t="n">
        <v>6352</v>
      </c>
      <c r="G745" s="10" t="n">
        <v>250000000</v>
      </c>
      <c r="H745" s="14" t="n">
        <v>0.01</v>
      </c>
      <c r="I745" s="9" t="s">
        <v>3082</v>
      </c>
      <c r="J745" s="6"/>
      <c r="K745" s="9" t="s">
        <v>2645</v>
      </c>
      <c r="L745" s="9" t="s">
        <v>3097</v>
      </c>
    </row>
    <row r="746" customFormat="false" ht="15" hidden="false" customHeight="false" outlineLevel="0" collapsed="false">
      <c r="A746" s="6" t="s">
        <v>402</v>
      </c>
      <c r="B746" s="6" t="s">
        <v>3088</v>
      </c>
      <c r="C746" s="6" t="s">
        <v>2594</v>
      </c>
      <c r="D746" s="6" t="s">
        <v>2589</v>
      </c>
      <c r="E746" s="6" t="s">
        <v>2750</v>
      </c>
      <c r="F746" s="10" t="n">
        <v>6562</v>
      </c>
      <c r="G746" s="10"/>
      <c r="H746" s="14" t="n">
        <v>0.01</v>
      </c>
      <c r="I746" s="9" t="s">
        <v>3083</v>
      </c>
      <c r="J746" s="6"/>
      <c r="K746" s="6"/>
      <c r="L746" s="9" t="s">
        <v>3097</v>
      </c>
    </row>
    <row r="747" customFormat="false" ht="15" hidden="false" customHeight="false" outlineLevel="0" collapsed="false">
      <c r="A747" s="6" t="s">
        <v>402</v>
      </c>
      <c r="B747" s="6" t="s">
        <v>3088</v>
      </c>
      <c r="C747" s="6" t="s">
        <v>2594</v>
      </c>
      <c r="D747" s="6" t="s">
        <v>2589</v>
      </c>
      <c r="E747" s="6" t="s">
        <v>2750</v>
      </c>
      <c r="F747" s="10" t="n">
        <v>-2531</v>
      </c>
      <c r="G747" s="10"/>
      <c r="H747" s="14" t="n">
        <v>0</v>
      </c>
      <c r="I747" s="9" t="s">
        <v>3084</v>
      </c>
      <c r="J747" s="6"/>
      <c r="K747" s="6"/>
      <c r="L747" s="9" t="s">
        <v>3097</v>
      </c>
    </row>
    <row r="748" customFormat="false" ht="15" hidden="false" customHeight="false" outlineLevel="0" collapsed="false">
      <c r="A748" s="6" t="s">
        <v>402</v>
      </c>
      <c r="B748" s="6" t="s">
        <v>3088</v>
      </c>
      <c r="C748" s="6" t="s">
        <v>2594</v>
      </c>
      <c r="D748" s="6" t="s">
        <v>2589</v>
      </c>
      <c r="E748" s="6" t="s">
        <v>2750</v>
      </c>
      <c r="F748" s="10" t="n">
        <v>-1280</v>
      </c>
      <c r="G748" s="10"/>
      <c r="H748" s="14" t="n">
        <v>0</v>
      </c>
      <c r="I748" s="9" t="s">
        <v>3085</v>
      </c>
      <c r="J748" s="6"/>
      <c r="K748" s="6"/>
      <c r="L748" s="9" t="s">
        <v>3097</v>
      </c>
    </row>
    <row r="749" customFormat="false" ht="15" hidden="false" customHeight="false" outlineLevel="0" collapsed="false">
      <c r="A749" s="6" t="s">
        <v>402</v>
      </c>
      <c r="B749" s="6" t="s">
        <v>3088</v>
      </c>
      <c r="C749" s="6" t="s">
        <v>2594</v>
      </c>
      <c r="D749" s="6" t="s">
        <v>2589</v>
      </c>
      <c r="E749" s="6" t="s">
        <v>2750</v>
      </c>
      <c r="F749" s="10" t="n">
        <v>-508</v>
      </c>
      <c r="G749" s="10"/>
      <c r="H749" s="14" t="n">
        <v>0</v>
      </c>
      <c r="I749" s="9" t="s">
        <v>3009</v>
      </c>
      <c r="J749" s="6"/>
      <c r="K749" s="6"/>
      <c r="L749" s="9" t="s">
        <v>3097</v>
      </c>
    </row>
    <row r="750" customFormat="false" ht="15" hidden="false" customHeight="false" outlineLevel="0" collapsed="false">
      <c r="A750" s="6" t="s">
        <v>402</v>
      </c>
      <c r="B750" s="6" t="s">
        <v>3088</v>
      </c>
      <c r="C750" s="6" t="s">
        <v>2594</v>
      </c>
      <c r="D750" s="6" t="s">
        <v>2589</v>
      </c>
      <c r="E750" s="6" t="s">
        <v>2750</v>
      </c>
      <c r="F750" s="10" t="n">
        <v>-3345</v>
      </c>
      <c r="G750" s="10"/>
      <c r="H750" s="14" t="n">
        <v>-0.01</v>
      </c>
      <c r="I750" s="9" t="s">
        <v>3086</v>
      </c>
      <c r="J750" s="6"/>
      <c r="K750" s="6"/>
      <c r="L750" s="9" t="s">
        <v>3097</v>
      </c>
    </row>
    <row r="751" customFormat="false" ht="15" hidden="false" customHeight="false" outlineLevel="0" collapsed="false">
      <c r="A751" s="6" t="s">
        <v>402</v>
      </c>
      <c r="B751" s="6" t="s">
        <v>3088</v>
      </c>
      <c r="C751" s="6" t="s">
        <v>2594</v>
      </c>
      <c r="D751" s="6" t="s">
        <v>2589</v>
      </c>
      <c r="E751" s="6" t="s">
        <v>2750</v>
      </c>
      <c r="F751" s="10" t="n">
        <v>3206</v>
      </c>
      <c r="G751" s="10"/>
      <c r="H751" s="14" t="n">
        <v>0.01</v>
      </c>
      <c r="I751" s="9" t="s">
        <v>3089</v>
      </c>
      <c r="J751" s="6"/>
      <c r="K751" s="6"/>
      <c r="L751" s="9" t="s">
        <v>3097</v>
      </c>
    </row>
    <row r="752" customFormat="false" ht="15" hidden="false" customHeight="false" outlineLevel="0" collapsed="false">
      <c r="A752" s="6" t="s">
        <v>402</v>
      </c>
      <c r="B752" s="6" t="s">
        <v>3090</v>
      </c>
      <c r="C752" s="6" t="s">
        <v>2594</v>
      </c>
      <c r="D752" s="6" t="s">
        <v>2589</v>
      </c>
      <c r="E752" s="6" t="s">
        <v>2750</v>
      </c>
      <c r="F752" s="10" t="n">
        <v>6352</v>
      </c>
      <c r="G752" s="10" t="n">
        <v>250000000</v>
      </c>
      <c r="H752" s="14" t="n">
        <v>0.01</v>
      </c>
      <c r="I752" s="9" t="s">
        <v>3082</v>
      </c>
      <c r="J752" s="6"/>
      <c r="K752" s="9" t="s">
        <v>2645</v>
      </c>
      <c r="L752" s="9" t="s">
        <v>3097</v>
      </c>
    </row>
    <row r="753" customFormat="false" ht="15" hidden="false" customHeight="false" outlineLevel="0" collapsed="false">
      <c r="A753" s="6" t="s">
        <v>402</v>
      </c>
      <c r="B753" s="6" t="s">
        <v>3090</v>
      </c>
      <c r="C753" s="6" t="s">
        <v>2594</v>
      </c>
      <c r="D753" s="6" t="s">
        <v>2589</v>
      </c>
      <c r="E753" s="6" t="s">
        <v>2750</v>
      </c>
      <c r="F753" s="10" t="n">
        <v>6562</v>
      </c>
      <c r="G753" s="10"/>
      <c r="H753" s="14" t="n">
        <v>0.01</v>
      </c>
      <c r="I753" s="9" t="s">
        <v>3083</v>
      </c>
      <c r="J753" s="6"/>
      <c r="K753" s="6"/>
      <c r="L753" s="9" t="s">
        <v>3097</v>
      </c>
    </row>
    <row r="754" customFormat="false" ht="15" hidden="false" customHeight="false" outlineLevel="0" collapsed="false">
      <c r="A754" s="6" t="s">
        <v>402</v>
      </c>
      <c r="B754" s="6" t="s">
        <v>3090</v>
      </c>
      <c r="C754" s="6" t="s">
        <v>2594</v>
      </c>
      <c r="D754" s="6" t="s">
        <v>2589</v>
      </c>
      <c r="E754" s="6" t="s">
        <v>2750</v>
      </c>
      <c r="F754" s="10" t="n">
        <v>-2531</v>
      </c>
      <c r="G754" s="10"/>
      <c r="H754" s="14" t="n">
        <v>0</v>
      </c>
      <c r="I754" s="9" t="s">
        <v>3084</v>
      </c>
      <c r="J754" s="6"/>
      <c r="K754" s="6"/>
      <c r="L754" s="9" t="s">
        <v>3097</v>
      </c>
    </row>
    <row r="755" customFormat="false" ht="15" hidden="false" customHeight="false" outlineLevel="0" collapsed="false">
      <c r="A755" s="6" t="s">
        <v>402</v>
      </c>
      <c r="B755" s="6" t="s">
        <v>3090</v>
      </c>
      <c r="C755" s="6" t="s">
        <v>2594</v>
      </c>
      <c r="D755" s="6" t="s">
        <v>2589</v>
      </c>
      <c r="E755" s="6" t="s">
        <v>2750</v>
      </c>
      <c r="F755" s="10" t="n">
        <v>-1280</v>
      </c>
      <c r="G755" s="10"/>
      <c r="H755" s="14" t="n">
        <v>0</v>
      </c>
      <c r="I755" s="9" t="s">
        <v>3085</v>
      </c>
      <c r="J755" s="6"/>
      <c r="K755" s="6"/>
      <c r="L755" s="9" t="s">
        <v>3097</v>
      </c>
    </row>
    <row r="756" customFormat="false" ht="15" hidden="false" customHeight="false" outlineLevel="0" collapsed="false">
      <c r="A756" s="6" t="s">
        <v>402</v>
      </c>
      <c r="B756" s="6" t="s">
        <v>3090</v>
      </c>
      <c r="C756" s="6" t="s">
        <v>2594</v>
      </c>
      <c r="D756" s="6" t="s">
        <v>2589</v>
      </c>
      <c r="E756" s="6" t="s">
        <v>2750</v>
      </c>
      <c r="F756" s="10" t="n">
        <v>-508</v>
      </c>
      <c r="G756" s="10"/>
      <c r="H756" s="14" t="n">
        <v>0</v>
      </c>
      <c r="I756" s="9" t="s">
        <v>3009</v>
      </c>
      <c r="J756" s="6"/>
      <c r="K756" s="6"/>
      <c r="L756" s="9" t="s">
        <v>3097</v>
      </c>
    </row>
    <row r="757" customFormat="false" ht="15" hidden="false" customHeight="false" outlineLevel="0" collapsed="false">
      <c r="A757" s="6" t="s">
        <v>402</v>
      </c>
      <c r="B757" s="6" t="s">
        <v>3090</v>
      </c>
      <c r="C757" s="6" t="s">
        <v>2594</v>
      </c>
      <c r="D757" s="6" t="s">
        <v>2589</v>
      </c>
      <c r="E757" s="6" t="s">
        <v>2750</v>
      </c>
      <c r="F757" s="10" t="n">
        <v>-3345</v>
      </c>
      <c r="G757" s="10"/>
      <c r="H757" s="14" t="n">
        <v>-0.01</v>
      </c>
      <c r="I757" s="9" t="s">
        <v>3086</v>
      </c>
      <c r="J757" s="6"/>
      <c r="K757" s="6"/>
      <c r="L757" s="9" t="s">
        <v>3097</v>
      </c>
    </row>
    <row r="758" customFormat="false" ht="15" hidden="false" customHeight="false" outlineLevel="0" collapsed="false">
      <c r="A758" s="6" t="s">
        <v>402</v>
      </c>
      <c r="B758" s="6" t="s">
        <v>3090</v>
      </c>
      <c r="C758" s="6" t="s">
        <v>2594</v>
      </c>
      <c r="D758" s="6" t="s">
        <v>2589</v>
      </c>
      <c r="E758" s="6" t="s">
        <v>2750</v>
      </c>
      <c r="F758" s="10" t="n">
        <v>3193</v>
      </c>
      <c r="G758" s="10"/>
      <c r="H758" s="14" t="n">
        <v>0.01</v>
      </c>
      <c r="I758" s="9" t="s">
        <v>3091</v>
      </c>
      <c r="J758" s="6"/>
      <c r="K758" s="6"/>
      <c r="L758" s="9" t="s">
        <v>3097</v>
      </c>
    </row>
    <row r="759" customFormat="false" ht="15" hidden="false" customHeight="false" outlineLevel="0" collapsed="false">
      <c r="A759" s="6" t="s">
        <v>402</v>
      </c>
      <c r="B759" s="6" t="s">
        <v>3092</v>
      </c>
      <c r="C759" s="6" t="s">
        <v>2594</v>
      </c>
      <c r="D759" s="6" t="s">
        <v>2589</v>
      </c>
      <c r="E759" s="6" t="s">
        <v>2750</v>
      </c>
      <c r="F759" s="10" t="n">
        <v>6352</v>
      </c>
      <c r="G759" s="10" t="n">
        <v>250000000</v>
      </c>
      <c r="H759" s="14" t="n">
        <v>0.01</v>
      </c>
      <c r="I759" s="9" t="s">
        <v>3082</v>
      </c>
      <c r="J759" s="6"/>
      <c r="K759" s="9" t="s">
        <v>2645</v>
      </c>
      <c r="L759" s="9" t="s">
        <v>3097</v>
      </c>
    </row>
    <row r="760" customFormat="false" ht="15" hidden="false" customHeight="false" outlineLevel="0" collapsed="false">
      <c r="A760" s="6" t="s">
        <v>402</v>
      </c>
      <c r="B760" s="6" t="s">
        <v>3092</v>
      </c>
      <c r="C760" s="6" t="s">
        <v>2594</v>
      </c>
      <c r="D760" s="6" t="s">
        <v>2589</v>
      </c>
      <c r="E760" s="6" t="s">
        <v>2750</v>
      </c>
      <c r="F760" s="10" t="n">
        <v>6562</v>
      </c>
      <c r="G760" s="10"/>
      <c r="H760" s="14" t="n">
        <v>0.01</v>
      </c>
      <c r="I760" s="9" t="s">
        <v>3083</v>
      </c>
      <c r="J760" s="6"/>
      <c r="K760" s="6"/>
      <c r="L760" s="9" t="s">
        <v>3097</v>
      </c>
    </row>
    <row r="761" customFormat="false" ht="15" hidden="false" customHeight="false" outlineLevel="0" collapsed="false">
      <c r="A761" s="6" t="s">
        <v>402</v>
      </c>
      <c r="B761" s="6" t="s">
        <v>3092</v>
      </c>
      <c r="C761" s="6" t="s">
        <v>2594</v>
      </c>
      <c r="D761" s="6" t="s">
        <v>2589</v>
      </c>
      <c r="E761" s="6" t="s">
        <v>2750</v>
      </c>
      <c r="F761" s="10" t="n">
        <v>-2531</v>
      </c>
      <c r="G761" s="10"/>
      <c r="H761" s="14" t="n">
        <v>0</v>
      </c>
      <c r="I761" s="9" t="s">
        <v>3084</v>
      </c>
      <c r="J761" s="6"/>
      <c r="K761" s="6"/>
      <c r="L761" s="9" t="s">
        <v>3097</v>
      </c>
    </row>
    <row r="762" customFormat="false" ht="15" hidden="false" customHeight="false" outlineLevel="0" collapsed="false">
      <c r="A762" s="6" t="s">
        <v>402</v>
      </c>
      <c r="B762" s="6" t="s">
        <v>3092</v>
      </c>
      <c r="C762" s="6" t="s">
        <v>2594</v>
      </c>
      <c r="D762" s="6" t="s">
        <v>2589</v>
      </c>
      <c r="E762" s="6" t="s">
        <v>2750</v>
      </c>
      <c r="F762" s="10" t="n">
        <v>-1280</v>
      </c>
      <c r="G762" s="10"/>
      <c r="H762" s="14" t="n">
        <v>0</v>
      </c>
      <c r="I762" s="9" t="s">
        <v>3085</v>
      </c>
      <c r="J762" s="6"/>
      <c r="K762" s="6"/>
      <c r="L762" s="9" t="s">
        <v>3097</v>
      </c>
    </row>
    <row r="763" customFormat="false" ht="15" hidden="false" customHeight="false" outlineLevel="0" collapsed="false">
      <c r="A763" s="6" t="s">
        <v>402</v>
      </c>
      <c r="B763" s="6" t="s">
        <v>3092</v>
      </c>
      <c r="C763" s="6" t="s">
        <v>2594</v>
      </c>
      <c r="D763" s="6" t="s">
        <v>2589</v>
      </c>
      <c r="E763" s="6" t="s">
        <v>2750</v>
      </c>
      <c r="F763" s="10" t="n">
        <v>-508</v>
      </c>
      <c r="G763" s="10"/>
      <c r="H763" s="14" t="n">
        <v>0</v>
      </c>
      <c r="I763" s="9" t="s">
        <v>3009</v>
      </c>
      <c r="J763" s="6"/>
      <c r="K763" s="6"/>
      <c r="L763" s="9" t="s">
        <v>3097</v>
      </c>
    </row>
    <row r="764" customFormat="false" ht="15" hidden="false" customHeight="false" outlineLevel="0" collapsed="false">
      <c r="A764" s="6" t="s">
        <v>402</v>
      </c>
      <c r="B764" s="6" t="s">
        <v>3092</v>
      </c>
      <c r="C764" s="6" t="s">
        <v>2594</v>
      </c>
      <c r="D764" s="6" t="s">
        <v>2589</v>
      </c>
      <c r="E764" s="6" t="s">
        <v>2750</v>
      </c>
      <c r="F764" s="10" t="n">
        <v>-3345</v>
      </c>
      <c r="G764" s="10"/>
      <c r="H764" s="14" t="n">
        <v>-0.01</v>
      </c>
      <c r="I764" s="9" t="s">
        <v>3086</v>
      </c>
      <c r="J764" s="6"/>
      <c r="K764" s="6"/>
      <c r="L764" s="9" t="s">
        <v>3097</v>
      </c>
    </row>
    <row r="765" customFormat="false" ht="15" hidden="false" customHeight="false" outlineLevel="0" collapsed="false">
      <c r="A765" s="6" t="s">
        <v>402</v>
      </c>
      <c r="B765" s="6" t="s">
        <v>3092</v>
      </c>
      <c r="C765" s="6" t="s">
        <v>2594</v>
      </c>
      <c r="D765" s="6" t="s">
        <v>2589</v>
      </c>
      <c r="E765" s="6" t="s">
        <v>2750</v>
      </c>
      <c r="F765" s="10" t="n">
        <v>3063</v>
      </c>
      <c r="G765" s="10"/>
      <c r="H765" s="14" t="n">
        <v>0.01</v>
      </c>
      <c r="I765" s="9" t="s">
        <v>3093</v>
      </c>
      <c r="J765" s="6"/>
      <c r="K765" s="6"/>
      <c r="L765" s="9" t="s">
        <v>3097</v>
      </c>
    </row>
    <row r="766" customFormat="false" ht="15" hidden="false" customHeight="false" outlineLevel="0" collapsed="false">
      <c r="A766" s="6" t="s">
        <v>402</v>
      </c>
      <c r="B766" s="6" t="s">
        <v>3094</v>
      </c>
      <c r="C766" s="6" t="s">
        <v>2594</v>
      </c>
      <c r="D766" s="6" t="s">
        <v>2589</v>
      </c>
      <c r="E766" s="6" t="s">
        <v>2750</v>
      </c>
      <c r="F766" s="10" t="n">
        <v>6352</v>
      </c>
      <c r="G766" s="10" t="n">
        <v>250000000</v>
      </c>
      <c r="H766" s="14" t="n">
        <v>0.01</v>
      </c>
      <c r="I766" s="9" t="s">
        <v>3082</v>
      </c>
      <c r="J766" s="6"/>
      <c r="K766" s="9" t="s">
        <v>2645</v>
      </c>
      <c r="L766" s="9" t="s">
        <v>3097</v>
      </c>
    </row>
    <row r="767" customFormat="false" ht="15" hidden="false" customHeight="false" outlineLevel="0" collapsed="false">
      <c r="A767" s="6" t="s">
        <v>402</v>
      </c>
      <c r="B767" s="6" t="s">
        <v>3094</v>
      </c>
      <c r="C767" s="6" t="s">
        <v>2594</v>
      </c>
      <c r="D767" s="6" t="s">
        <v>2589</v>
      </c>
      <c r="E767" s="6" t="s">
        <v>2750</v>
      </c>
      <c r="F767" s="10" t="n">
        <v>6562</v>
      </c>
      <c r="G767" s="10"/>
      <c r="H767" s="14" t="n">
        <v>0.01</v>
      </c>
      <c r="I767" s="9" t="s">
        <v>3083</v>
      </c>
      <c r="J767" s="6"/>
      <c r="K767" s="6"/>
      <c r="L767" s="9" t="s">
        <v>3097</v>
      </c>
    </row>
    <row r="768" customFormat="false" ht="15" hidden="false" customHeight="false" outlineLevel="0" collapsed="false">
      <c r="A768" s="6" t="s">
        <v>402</v>
      </c>
      <c r="B768" s="6" t="s">
        <v>3094</v>
      </c>
      <c r="C768" s="6" t="s">
        <v>2594</v>
      </c>
      <c r="D768" s="6" t="s">
        <v>2589</v>
      </c>
      <c r="E768" s="6" t="s">
        <v>2750</v>
      </c>
      <c r="F768" s="10" t="n">
        <v>-2531</v>
      </c>
      <c r="G768" s="10"/>
      <c r="H768" s="14" t="n">
        <v>0</v>
      </c>
      <c r="I768" s="9" t="s">
        <v>3084</v>
      </c>
      <c r="J768" s="6"/>
      <c r="K768" s="6"/>
      <c r="L768" s="9" t="s">
        <v>3097</v>
      </c>
    </row>
    <row r="769" customFormat="false" ht="15" hidden="false" customHeight="false" outlineLevel="0" collapsed="false">
      <c r="A769" s="6" t="s">
        <v>402</v>
      </c>
      <c r="B769" s="6" t="s">
        <v>3094</v>
      </c>
      <c r="C769" s="6" t="s">
        <v>2594</v>
      </c>
      <c r="D769" s="6" t="s">
        <v>2589</v>
      </c>
      <c r="E769" s="6" t="s">
        <v>2750</v>
      </c>
      <c r="F769" s="10" t="n">
        <v>-1280</v>
      </c>
      <c r="G769" s="10"/>
      <c r="H769" s="14" t="n">
        <v>0</v>
      </c>
      <c r="I769" s="9" t="s">
        <v>3085</v>
      </c>
      <c r="J769" s="6"/>
      <c r="K769" s="6"/>
      <c r="L769" s="9" t="s">
        <v>3097</v>
      </c>
    </row>
    <row r="770" customFormat="false" ht="15" hidden="false" customHeight="false" outlineLevel="0" collapsed="false">
      <c r="A770" s="6" t="s">
        <v>402</v>
      </c>
      <c r="B770" s="6" t="s">
        <v>3094</v>
      </c>
      <c r="C770" s="6" t="s">
        <v>2594</v>
      </c>
      <c r="D770" s="6" t="s">
        <v>2589</v>
      </c>
      <c r="E770" s="6" t="s">
        <v>2750</v>
      </c>
      <c r="F770" s="10" t="n">
        <v>-508</v>
      </c>
      <c r="G770" s="10"/>
      <c r="H770" s="14" t="n">
        <v>0</v>
      </c>
      <c r="I770" s="9" t="s">
        <v>3009</v>
      </c>
      <c r="J770" s="6"/>
      <c r="K770" s="6"/>
      <c r="L770" s="9" t="s">
        <v>3097</v>
      </c>
    </row>
    <row r="771" customFormat="false" ht="15" hidden="false" customHeight="false" outlineLevel="0" collapsed="false">
      <c r="A771" s="6" t="s">
        <v>402</v>
      </c>
      <c r="B771" s="6" t="s">
        <v>3094</v>
      </c>
      <c r="C771" s="6" t="s">
        <v>2594</v>
      </c>
      <c r="D771" s="6" t="s">
        <v>2589</v>
      </c>
      <c r="E771" s="6" t="s">
        <v>2750</v>
      </c>
      <c r="F771" s="10" t="n">
        <v>-3345</v>
      </c>
      <c r="G771" s="10"/>
      <c r="H771" s="14" t="n">
        <v>-0.01</v>
      </c>
      <c r="I771" s="9" t="s">
        <v>3086</v>
      </c>
      <c r="J771" s="6"/>
      <c r="K771" s="6"/>
      <c r="L771" s="9" t="s">
        <v>3097</v>
      </c>
    </row>
    <row r="772" customFormat="false" ht="15" hidden="false" customHeight="false" outlineLevel="0" collapsed="false">
      <c r="A772" s="6" t="s">
        <v>402</v>
      </c>
      <c r="B772" s="6" t="s">
        <v>3094</v>
      </c>
      <c r="C772" s="6" t="s">
        <v>2594</v>
      </c>
      <c r="D772" s="6" t="s">
        <v>2589</v>
      </c>
      <c r="E772" s="6" t="s">
        <v>2750</v>
      </c>
      <c r="F772" s="10" t="n">
        <v>3388</v>
      </c>
      <c r="G772" s="10"/>
      <c r="H772" s="14" t="n">
        <v>0.01</v>
      </c>
      <c r="I772" s="9" t="s">
        <v>3095</v>
      </c>
      <c r="J772" s="6"/>
      <c r="K772" s="6"/>
      <c r="L772" s="9" t="s">
        <v>3097</v>
      </c>
    </row>
    <row r="773" customFormat="false" ht="15" hidden="false" customHeight="false" outlineLevel="0" collapsed="false">
      <c r="A773" s="6" t="s">
        <v>402</v>
      </c>
      <c r="B773" s="6" t="s">
        <v>3096</v>
      </c>
      <c r="C773" s="6" t="s">
        <v>2594</v>
      </c>
      <c r="D773" s="6" t="s">
        <v>2589</v>
      </c>
      <c r="E773" s="6" t="s">
        <v>2854</v>
      </c>
      <c r="F773" s="10" t="n">
        <v>44151</v>
      </c>
      <c r="G773" s="10" t="n">
        <v>500000000</v>
      </c>
      <c r="H773" s="14" t="n">
        <v>0.08</v>
      </c>
      <c r="I773" s="9" t="s">
        <v>2805</v>
      </c>
      <c r="J773" s="6"/>
      <c r="K773" s="9" t="s">
        <v>2645</v>
      </c>
      <c r="L773" s="9" t="s">
        <v>3097</v>
      </c>
    </row>
    <row r="774" customFormat="false" ht="15" hidden="false" customHeight="false" outlineLevel="0" collapsed="false">
      <c r="A774" s="6" t="s">
        <v>266</v>
      </c>
      <c r="B774" s="6" t="s">
        <v>3098</v>
      </c>
      <c r="C774" s="6" t="s">
        <v>2604</v>
      </c>
      <c r="D774" s="6" t="s">
        <v>2589</v>
      </c>
      <c r="E774" s="6" t="s">
        <v>2628</v>
      </c>
      <c r="F774" s="10" t="n">
        <v>330000</v>
      </c>
      <c r="G774" s="10" t="n">
        <v>10000000000</v>
      </c>
      <c r="H774" s="14" t="n">
        <v>2.58</v>
      </c>
      <c r="I774" s="9" t="s">
        <v>3099</v>
      </c>
      <c r="J774" s="6"/>
      <c r="K774" s="6" t="s">
        <v>2628</v>
      </c>
      <c r="L774" s="9" t="s">
        <v>1870</v>
      </c>
    </row>
    <row r="775" customFormat="false" ht="15" hidden="false" customHeight="false" outlineLevel="0" collapsed="false">
      <c r="A775" s="6" t="s">
        <v>266</v>
      </c>
      <c r="B775" s="6" t="s">
        <v>3098</v>
      </c>
      <c r="C775" s="6" t="s">
        <v>2604</v>
      </c>
      <c r="D775" s="6" t="s">
        <v>2589</v>
      </c>
      <c r="E775" s="6" t="s">
        <v>2699</v>
      </c>
      <c r="F775" s="10" t="n">
        <v>240000</v>
      </c>
      <c r="G775" s="10" t="n">
        <v>35000000000</v>
      </c>
      <c r="H775" s="14" t="n">
        <v>1.87</v>
      </c>
      <c r="I775" s="9" t="s">
        <v>3100</v>
      </c>
      <c r="J775" s="6"/>
      <c r="K775" s="6" t="s">
        <v>2699</v>
      </c>
      <c r="L775" s="9" t="s">
        <v>1870</v>
      </c>
    </row>
    <row r="776" customFormat="false" ht="15" hidden="false" customHeight="false" outlineLevel="0" collapsed="false">
      <c r="A776" s="6" t="s">
        <v>266</v>
      </c>
      <c r="B776" s="6" t="s">
        <v>3098</v>
      </c>
      <c r="C776" s="6" t="s">
        <v>2604</v>
      </c>
      <c r="D776" s="6" t="s">
        <v>2589</v>
      </c>
      <c r="E776" s="6" t="s">
        <v>2626</v>
      </c>
      <c r="F776" s="10" t="n">
        <v>130000</v>
      </c>
      <c r="G776" s="10" t="n">
        <v>15000000000</v>
      </c>
      <c r="H776" s="14" t="n">
        <v>1.01</v>
      </c>
      <c r="I776" s="9" t="s">
        <v>3100</v>
      </c>
      <c r="J776" s="6"/>
      <c r="K776" s="6" t="s">
        <v>2626</v>
      </c>
      <c r="L776" s="9" t="s">
        <v>1870</v>
      </c>
    </row>
    <row r="777" customFormat="false" ht="15" hidden="false" customHeight="false" outlineLevel="0" collapsed="false">
      <c r="A777" s="6" t="s">
        <v>266</v>
      </c>
      <c r="B777" s="6" t="s">
        <v>3098</v>
      </c>
      <c r="C777" s="6" t="s">
        <v>2604</v>
      </c>
      <c r="D777" s="6" t="s">
        <v>2589</v>
      </c>
      <c r="E777" s="6" t="s">
        <v>2663</v>
      </c>
      <c r="F777" s="10" t="n">
        <v>50000</v>
      </c>
      <c r="G777" s="10" t="n">
        <v>14000000000</v>
      </c>
      <c r="H777" s="14" t="n">
        <v>0.39</v>
      </c>
      <c r="I777" s="9" t="s">
        <v>3101</v>
      </c>
      <c r="J777" s="6"/>
      <c r="K777" s="6" t="s">
        <v>2663</v>
      </c>
      <c r="L777" s="9" t="s">
        <v>1870</v>
      </c>
    </row>
    <row r="778" customFormat="false" ht="15" hidden="false" customHeight="false" outlineLevel="0" collapsed="false">
      <c r="A778" s="6" t="s">
        <v>266</v>
      </c>
      <c r="B778" s="6" t="s">
        <v>3098</v>
      </c>
      <c r="C778" s="6" t="s">
        <v>2604</v>
      </c>
      <c r="D778" s="6" t="s">
        <v>2589</v>
      </c>
      <c r="E778" s="6" t="s">
        <v>2777</v>
      </c>
      <c r="F778" s="10" t="n">
        <v>300000</v>
      </c>
      <c r="G778" s="10" t="n">
        <v>26600000000</v>
      </c>
      <c r="H778" s="14" t="n">
        <v>2.34</v>
      </c>
      <c r="I778" s="9" t="s">
        <v>3100</v>
      </c>
      <c r="J778" s="6"/>
      <c r="K778" s="6" t="s">
        <v>2777</v>
      </c>
      <c r="L778" s="9" t="s">
        <v>1870</v>
      </c>
    </row>
    <row r="779" customFormat="false" ht="15" hidden="false" customHeight="false" outlineLevel="0" collapsed="false">
      <c r="A779" s="6" t="s">
        <v>266</v>
      </c>
      <c r="B779" s="6" t="s">
        <v>3102</v>
      </c>
      <c r="C779" s="6" t="s">
        <v>2594</v>
      </c>
      <c r="D779" s="6" t="s">
        <v>2589</v>
      </c>
      <c r="E779" s="9" t="s">
        <v>2883</v>
      </c>
      <c r="F779" s="10" t="n">
        <v>2917</v>
      </c>
      <c r="G779" s="10" t="n">
        <v>350000000</v>
      </c>
      <c r="H779" s="14" t="n">
        <v>0.02</v>
      </c>
      <c r="I779" s="9" t="s">
        <v>3103</v>
      </c>
      <c r="J779" s="6"/>
      <c r="K779" s="9" t="s">
        <v>2883</v>
      </c>
      <c r="L779" s="9" t="s">
        <v>1870</v>
      </c>
    </row>
    <row r="780" customFormat="false" ht="15" hidden="false" customHeight="false" outlineLevel="0" collapsed="false">
      <c r="A780" s="6" t="s">
        <v>266</v>
      </c>
      <c r="B780" s="6" t="s">
        <v>3098</v>
      </c>
      <c r="C780" s="6" t="s">
        <v>2604</v>
      </c>
      <c r="D780" s="6" t="s">
        <v>2589</v>
      </c>
      <c r="E780" s="6" t="s">
        <v>2628</v>
      </c>
      <c r="F780" s="10" t="n">
        <v>330000</v>
      </c>
      <c r="G780" s="10" t="n">
        <v>10000000000</v>
      </c>
      <c r="H780" s="14" t="n">
        <v>2.58</v>
      </c>
      <c r="I780" s="9" t="s">
        <v>3099</v>
      </c>
      <c r="J780" s="6"/>
      <c r="K780" s="9" t="s">
        <v>2645</v>
      </c>
      <c r="L780" s="9" t="s">
        <v>3104</v>
      </c>
    </row>
    <row r="781" customFormat="false" ht="15" hidden="false" customHeight="false" outlineLevel="0" collapsed="false">
      <c r="A781" s="6" t="s">
        <v>266</v>
      </c>
      <c r="B781" s="6" t="s">
        <v>3098</v>
      </c>
      <c r="C781" s="6" t="s">
        <v>2604</v>
      </c>
      <c r="D781" s="6" t="s">
        <v>2589</v>
      </c>
      <c r="E781" s="6" t="s">
        <v>2699</v>
      </c>
      <c r="F781" s="10" t="n">
        <v>240000</v>
      </c>
      <c r="G781" s="10" t="n">
        <v>35000000000</v>
      </c>
      <c r="H781" s="14" t="n">
        <v>1.87</v>
      </c>
      <c r="I781" s="9" t="s">
        <v>3100</v>
      </c>
      <c r="J781" s="6"/>
      <c r="K781" s="9" t="s">
        <v>2645</v>
      </c>
      <c r="L781" s="9" t="s">
        <v>3104</v>
      </c>
    </row>
    <row r="782" customFormat="false" ht="15" hidden="false" customHeight="false" outlineLevel="0" collapsed="false">
      <c r="A782" s="6" t="s">
        <v>266</v>
      </c>
      <c r="B782" s="6" t="s">
        <v>3098</v>
      </c>
      <c r="C782" s="6" t="s">
        <v>2604</v>
      </c>
      <c r="D782" s="6" t="s">
        <v>2589</v>
      </c>
      <c r="E782" s="6" t="s">
        <v>2626</v>
      </c>
      <c r="F782" s="10" t="n">
        <v>130000</v>
      </c>
      <c r="G782" s="10" t="n">
        <v>15000000000</v>
      </c>
      <c r="H782" s="14" t="n">
        <v>1.01</v>
      </c>
      <c r="I782" s="9" t="s">
        <v>3100</v>
      </c>
      <c r="J782" s="6"/>
      <c r="K782" s="9" t="s">
        <v>2645</v>
      </c>
      <c r="L782" s="9" t="s">
        <v>3104</v>
      </c>
    </row>
    <row r="783" customFormat="false" ht="15" hidden="false" customHeight="false" outlineLevel="0" collapsed="false">
      <c r="A783" s="6" t="s">
        <v>266</v>
      </c>
      <c r="B783" s="6" t="s">
        <v>3098</v>
      </c>
      <c r="C783" s="6" t="s">
        <v>2604</v>
      </c>
      <c r="D783" s="6" t="s">
        <v>2589</v>
      </c>
      <c r="E783" s="6" t="s">
        <v>2663</v>
      </c>
      <c r="F783" s="10" t="n">
        <v>50000</v>
      </c>
      <c r="G783" s="10" t="n">
        <v>14000000000</v>
      </c>
      <c r="H783" s="14" t="n">
        <v>0.39</v>
      </c>
      <c r="I783" s="9" t="s">
        <v>3101</v>
      </c>
      <c r="J783" s="6"/>
      <c r="K783" s="9" t="s">
        <v>2645</v>
      </c>
      <c r="L783" s="9" t="s">
        <v>3104</v>
      </c>
    </row>
    <row r="784" customFormat="false" ht="15" hidden="false" customHeight="false" outlineLevel="0" collapsed="false">
      <c r="A784" s="6" t="s">
        <v>266</v>
      </c>
      <c r="B784" s="6" t="s">
        <v>3102</v>
      </c>
      <c r="C784" s="6" t="s">
        <v>2594</v>
      </c>
      <c r="D784" s="6" t="s">
        <v>2589</v>
      </c>
      <c r="E784" s="9" t="s">
        <v>2883</v>
      </c>
      <c r="F784" s="10" t="n">
        <v>2917</v>
      </c>
      <c r="G784" s="10" t="n">
        <v>350000000</v>
      </c>
      <c r="H784" s="14" t="n">
        <v>0.02</v>
      </c>
      <c r="I784" s="9" t="s">
        <v>3103</v>
      </c>
      <c r="J784" s="6"/>
      <c r="K784" s="9" t="s">
        <v>2645</v>
      </c>
      <c r="L784" s="9" t="s">
        <v>3104</v>
      </c>
    </row>
    <row r="785" customFormat="false" ht="15" hidden="false" customHeight="false" outlineLevel="0" collapsed="false">
      <c r="A785" s="6" t="s">
        <v>266</v>
      </c>
      <c r="B785" s="6" t="s">
        <v>3102</v>
      </c>
      <c r="C785" s="6" t="s">
        <v>2594</v>
      </c>
      <c r="D785" s="6" t="s">
        <v>2589</v>
      </c>
      <c r="E785" s="6" t="s">
        <v>2665</v>
      </c>
      <c r="F785" s="10" t="n">
        <v>510436</v>
      </c>
      <c r="G785" s="10" t="n">
        <v>150000000000</v>
      </c>
      <c r="H785" s="14" t="n">
        <v>3.98</v>
      </c>
      <c r="I785" s="9" t="s">
        <v>2327</v>
      </c>
      <c r="J785" s="6"/>
      <c r="K785" s="9" t="s">
        <v>2645</v>
      </c>
      <c r="L785" s="9" t="s">
        <v>3104</v>
      </c>
    </row>
    <row r="786" customFormat="false" ht="15" hidden="false" customHeight="false" outlineLevel="0" collapsed="false">
      <c r="A786" s="6" t="s">
        <v>266</v>
      </c>
      <c r="B786" s="6" t="s">
        <v>3102</v>
      </c>
      <c r="C786" s="6" t="s">
        <v>2594</v>
      </c>
      <c r="D786" s="6" t="s">
        <v>2589</v>
      </c>
      <c r="E786" s="6" t="s">
        <v>2674</v>
      </c>
      <c r="F786" s="10" t="n">
        <v>177993</v>
      </c>
      <c r="G786" s="10" t="n">
        <v>63748060000</v>
      </c>
      <c r="H786" s="14" t="n">
        <v>1.39</v>
      </c>
      <c r="I786" s="9" t="s">
        <v>2327</v>
      </c>
      <c r="J786" s="6"/>
      <c r="K786" s="9" t="s">
        <v>2645</v>
      </c>
      <c r="L786" s="9" t="s">
        <v>3104</v>
      </c>
    </row>
    <row r="787" customFormat="false" ht="15" hidden="false" customHeight="false" outlineLevel="0" collapsed="false">
      <c r="A787" s="6" t="s">
        <v>352</v>
      </c>
      <c r="B787" s="6" t="s">
        <v>3105</v>
      </c>
      <c r="C787" s="6" t="s">
        <v>2604</v>
      </c>
      <c r="D787" s="6" t="s">
        <v>2589</v>
      </c>
      <c r="E787" s="9" t="s">
        <v>2883</v>
      </c>
      <c r="F787" s="10" t="n">
        <v>252683</v>
      </c>
      <c r="G787" s="10" t="n">
        <v>2500000000</v>
      </c>
      <c r="H787" s="14" t="n">
        <v>0.4</v>
      </c>
      <c r="I787" s="9" t="s">
        <v>2143</v>
      </c>
      <c r="J787" s="6"/>
      <c r="K787" s="6" t="s">
        <v>3105</v>
      </c>
      <c r="L787" s="9" t="s">
        <v>1911</v>
      </c>
    </row>
    <row r="788" customFormat="false" ht="15" hidden="false" customHeight="false" outlineLevel="0" collapsed="false">
      <c r="A788" s="6" t="s">
        <v>352</v>
      </c>
      <c r="B788" s="6" t="s">
        <v>3105</v>
      </c>
      <c r="C788" s="6" t="s">
        <v>2604</v>
      </c>
      <c r="D788" s="6" t="s">
        <v>2589</v>
      </c>
      <c r="E788" s="9" t="s">
        <v>2878</v>
      </c>
      <c r="F788" s="10" t="n">
        <v>441990</v>
      </c>
      <c r="G788" s="10" t="n">
        <v>10000000000</v>
      </c>
      <c r="H788" s="14" t="n">
        <v>0.69</v>
      </c>
      <c r="I788" s="9" t="s">
        <v>2509</v>
      </c>
      <c r="J788" s="6"/>
      <c r="K788" s="6" t="s">
        <v>3105</v>
      </c>
      <c r="L788" s="9" t="s">
        <v>1911</v>
      </c>
    </row>
    <row r="789" customFormat="false" ht="15" hidden="false" customHeight="false" outlineLevel="0" collapsed="false">
      <c r="A789" s="6" t="s">
        <v>352</v>
      </c>
      <c r="B789" s="6" t="s">
        <v>3105</v>
      </c>
      <c r="C789" s="6" t="s">
        <v>2604</v>
      </c>
      <c r="D789" s="6" t="s">
        <v>2589</v>
      </c>
      <c r="E789" s="6" t="s">
        <v>2972</v>
      </c>
      <c r="F789" s="10" t="n">
        <v>400000</v>
      </c>
      <c r="G789" s="10" t="n">
        <v>9000000000</v>
      </c>
      <c r="H789" s="14" t="n">
        <v>0.63</v>
      </c>
      <c r="I789" s="9" t="s">
        <v>2492</v>
      </c>
      <c r="J789" s="6"/>
      <c r="K789" s="6" t="s">
        <v>3105</v>
      </c>
      <c r="L789" s="9" t="s">
        <v>1911</v>
      </c>
    </row>
    <row r="790" customFormat="false" ht="15" hidden="false" customHeight="false" outlineLevel="0" collapsed="false">
      <c r="A790" s="6" t="s">
        <v>352</v>
      </c>
      <c r="B790" s="6" t="s">
        <v>3105</v>
      </c>
      <c r="C790" s="6" t="s">
        <v>2604</v>
      </c>
      <c r="D790" s="6" t="s">
        <v>2589</v>
      </c>
      <c r="E790" s="9" t="s">
        <v>2997</v>
      </c>
      <c r="F790" s="10" t="n">
        <v>192561</v>
      </c>
      <c r="G790" s="10" t="n">
        <v>2000000000</v>
      </c>
      <c r="H790" s="14" t="n">
        <v>0.3</v>
      </c>
      <c r="I790" s="9" t="s">
        <v>2921</v>
      </c>
      <c r="J790" s="6"/>
      <c r="K790" s="6" t="s">
        <v>3105</v>
      </c>
      <c r="L790" s="9" t="s">
        <v>1911</v>
      </c>
    </row>
    <row r="791" customFormat="false" ht="15" hidden="false" customHeight="false" outlineLevel="0" collapsed="false">
      <c r="A791" s="6" t="s">
        <v>352</v>
      </c>
      <c r="B791" s="6" t="s">
        <v>3105</v>
      </c>
      <c r="C791" s="6" t="s">
        <v>2604</v>
      </c>
      <c r="D791" s="6" t="s">
        <v>2589</v>
      </c>
      <c r="E791" s="6" t="s">
        <v>2665</v>
      </c>
      <c r="F791" s="10" t="n">
        <v>384820</v>
      </c>
      <c r="G791" s="10" t="n">
        <v>6000000000</v>
      </c>
      <c r="H791" s="14" t="n">
        <v>0.6</v>
      </c>
      <c r="I791" s="9" t="s">
        <v>2613</v>
      </c>
      <c r="J791" s="6"/>
      <c r="K791" s="6" t="s">
        <v>3105</v>
      </c>
      <c r="L791" s="9" t="s">
        <v>1911</v>
      </c>
    </row>
    <row r="792" customFormat="false" ht="15" hidden="false" customHeight="false" outlineLevel="0" collapsed="false">
      <c r="A792" s="6" t="s">
        <v>352</v>
      </c>
      <c r="B792" s="6" t="s">
        <v>3105</v>
      </c>
      <c r="C792" s="6" t="s">
        <v>2604</v>
      </c>
      <c r="D792" s="6" t="s">
        <v>2589</v>
      </c>
      <c r="E792" s="6" t="s">
        <v>2672</v>
      </c>
      <c r="F792" s="10" t="n">
        <v>294841</v>
      </c>
      <c r="G792" s="10" t="n">
        <v>3000000000</v>
      </c>
      <c r="H792" s="14" t="n">
        <v>0.46</v>
      </c>
      <c r="I792" s="9" t="s">
        <v>2400</v>
      </c>
      <c r="J792" s="6"/>
      <c r="K792" s="6" t="s">
        <v>3105</v>
      </c>
      <c r="L792" s="9" t="s">
        <v>1911</v>
      </c>
    </row>
    <row r="793" customFormat="false" ht="15" hidden="false" customHeight="false" outlineLevel="0" collapsed="false">
      <c r="A793" s="6" t="s">
        <v>352</v>
      </c>
      <c r="B793" s="6" t="s">
        <v>3105</v>
      </c>
      <c r="C793" s="6" t="s">
        <v>2604</v>
      </c>
      <c r="D793" s="6" t="s">
        <v>2589</v>
      </c>
      <c r="E793" s="6" t="s">
        <v>3106</v>
      </c>
      <c r="F793" s="10" t="n">
        <v>144145</v>
      </c>
      <c r="G793" s="10" t="n">
        <v>4000000000</v>
      </c>
      <c r="H793" s="14" t="n">
        <v>0.23</v>
      </c>
      <c r="I793" s="9" t="s">
        <v>3107</v>
      </c>
      <c r="J793" s="6"/>
      <c r="K793" s="6" t="s">
        <v>3105</v>
      </c>
      <c r="L793" s="9" t="s">
        <v>1911</v>
      </c>
    </row>
    <row r="794" customFormat="false" ht="15" hidden="false" customHeight="false" outlineLevel="0" collapsed="false">
      <c r="A794" s="6" t="s">
        <v>352</v>
      </c>
      <c r="B794" s="6" t="s">
        <v>3105</v>
      </c>
      <c r="C794" s="6" t="s">
        <v>2604</v>
      </c>
      <c r="D794" s="6" t="s">
        <v>2589</v>
      </c>
      <c r="E794" s="6" t="s">
        <v>3106</v>
      </c>
      <c r="F794" s="10" t="n">
        <v>54055</v>
      </c>
      <c r="G794" s="10" t="n">
        <v>1500000000</v>
      </c>
      <c r="H794" s="14" t="n">
        <v>0.08</v>
      </c>
      <c r="I794" s="9" t="s">
        <v>3107</v>
      </c>
      <c r="J794" s="6"/>
      <c r="K794" s="6" t="s">
        <v>3105</v>
      </c>
      <c r="L794" s="9" t="s">
        <v>1911</v>
      </c>
    </row>
    <row r="795" customFormat="false" ht="15" hidden="false" customHeight="false" outlineLevel="0" collapsed="false">
      <c r="A795" s="6" t="s">
        <v>352</v>
      </c>
      <c r="B795" s="6" t="s">
        <v>3105</v>
      </c>
      <c r="C795" s="6" t="s">
        <v>2604</v>
      </c>
      <c r="D795" s="6" t="s">
        <v>2589</v>
      </c>
      <c r="E795" s="6" t="s">
        <v>3106</v>
      </c>
      <c r="F795" s="10" t="n">
        <v>54055</v>
      </c>
      <c r="G795" s="10" t="n">
        <v>1500000000</v>
      </c>
      <c r="H795" s="14" t="n">
        <v>0.08</v>
      </c>
      <c r="I795" s="9" t="s">
        <v>3107</v>
      </c>
      <c r="J795" s="6"/>
      <c r="K795" s="6" t="s">
        <v>3105</v>
      </c>
      <c r="L795" s="9" t="s">
        <v>1911</v>
      </c>
    </row>
    <row r="796" customFormat="false" ht="15" hidden="false" customHeight="false" outlineLevel="0" collapsed="false">
      <c r="A796" s="6" t="s">
        <v>352</v>
      </c>
      <c r="B796" s="6" t="s">
        <v>3105</v>
      </c>
      <c r="C796" s="6" t="s">
        <v>2604</v>
      </c>
      <c r="D796" s="6" t="s">
        <v>2589</v>
      </c>
      <c r="E796" s="6" t="s">
        <v>2952</v>
      </c>
      <c r="F796" s="10" t="n">
        <v>323975</v>
      </c>
      <c r="G796" s="10" t="n">
        <v>5000000000</v>
      </c>
      <c r="H796" s="14" t="n">
        <v>0.51</v>
      </c>
      <c r="I796" s="9" t="s">
        <v>2851</v>
      </c>
      <c r="J796" s="6"/>
      <c r="K796" s="6" t="s">
        <v>3105</v>
      </c>
      <c r="L796" s="9" t="s">
        <v>1911</v>
      </c>
    </row>
    <row r="797" customFormat="false" ht="15" hidden="false" customHeight="false" outlineLevel="0" collapsed="false">
      <c r="A797" s="6" t="s">
        <v>352</v>
      </c>
      <c r="B797" s="6" t="s">
        <v>3105</v>
      </c>
      <c r="C797" s="6" t="s">
        <v>2604</v>
      </c>
      <c r="D797" s="6" t="s">
        <v>2589</v>
      </c>
      <c r="E797" s="9" t="s">
        <v>2878</v>
      </c>
      <c r="F797" s="10" t="n">
        <v>578035</v>
      </c>
      <c r="G797" s="10" t="n">
        <v>20000000000</v>
      </c>
      <c r="H797" s="14" t="n">
        <v>0.91</v>
      </c>
      <c r="I797" s="9" t="s">
        <v>2516</v>
      </c>
      <c r="J797" s="6"/>
      <c r="K797" s="9" t="s">
        <v>3108</v>
      </c>
      <c r="L797" s="9" t="s">
        <v>1911</v>
      </c>
    </row>
    <row r="798" customFormat="false" ht="15" hidden="false" customHeight="false" outlineLevel="0" collapsed="false">
      <c r="A798" s="6" t="s">
        <v>352</v>
      </c>
      <c r="B798" s="6" t="s">
        <v>3105</v>
      </c>
      <c r="C798" s="6" t="s">
        <v>2604</v>
      </c>
      <c r="D798" s="6" t="s">
        <v>3109</v>
      </c>
      <c r="E798" s="6" t="s">
        <v>3110</v>
      </c>
      <c r="F798" s="10" t="n">
        <v>3500000</v>
      </c>
      <c r="G798" s="10"/>
      <c r="H798" s="14" t="n">
        <v>5.5</v>
      </c>
      <c r="I798" s="9" t="s">
        <v>3006</v>
      </c>
      <c r="J798" s="6"/>
      <c r="K798" s="6"/>
      <c r="L798" s="9" t="s">
        <v>1911</v>
      </c>
    </row>
    <row r="799" customFormat="false" ht="15" hidden="false" customHeight="false" outlineLevel="0" collapsed="false">
      <c r="A799" s="6" t="s">
        <v>352</v>
      </c>
      <c r="B799" s="6" t="s">
        <v>3111</v>
      </c>
      <c r="C799" s="6" t="s">
        <v>2594</v>
      </c>
      <c r="D799" s="6" t="s">
        <v>2589</v>
      </c>
      <c r="E799" s="6" t="s">
        <v>2665</v>
      </c>
      <c r="F799" s="10" t="n">
        <v>25000</v>
      </c>
      <c r="G799" s="10" t="n">
        <v>400380000</v>
      </c>
      <c r="H799" s="14" t="n">
        <v>0.04</v>
      </c>
      <c r="I799" s="9" t="s">
        <v>2516</v>
      </c>
      <c r="J799" s="6"/>
      <c r="K799" s="6" t="s">
        <v>3111</v>
      </c>
      <c r="L799" s="9" t="s">
        <v>1911</v>
      </c>
    </row>
    <row r="800" customFormat="false" ht="15" hidden="false" customHeight="false" outlineLevel="0" collapsed="false">
      <c r="A800" s="6" t="s">
        <v>352</v>
      </c>
      <c r="B800" s="6" t="s">
        <v>3112</v>
      </c>
      <c r="C800" s="6" t="s">
        <v>2594</v>
      </c>
      <c r="D800" s="6" t="s">
        <v>2589</v>
      </c>
      <c r="E800" s="6" t="s">
        <v>2665</v>
      </c>
      <c r="F800" s="10" t="n">
        <v>54112</v>
      </c>
      <c r="G800" s="10" t="n">
        <v>401000000</v>
      </c>
      <c r="H800" s="14" t="n">
        <v>0.09</v>
      </c>
      <c r="I800" s="9" t="s">
        <v>2207</v>
      </c>
      <c r="J800" s="6"/>
      <c r="K800" s="6" t="s">
        <v>3112</v>
      </c>
      <c r="L800" s="9" t="s">
        <v>1911</v>
      </c>
    </row>
    <row r="801" customFormat="false" ht="15" hidden="false" customHeight="false" outlineLevel="0" collapsed="false">
      <c r="A801" s="6" t="s">
        <v>352</v>
      </c>
      <c r="B801" s="6" t="s">
        <v>3113</v>
      </c>
      <c r="C801" s="6" t="s">
        <v>2588</v>
      </c>
      <c r="D801" s="6" t="s">
        <v>3109</v>
      </c>
      <c r="E801" s="6" t="s">
        <v>2672</v>
      </c>
      <c r="F801" s="10" t="n">
        <v>2500000</v>
      </c>
      <c r="G801" s="10" t="n">
        <v>70500000000</v>
      </c>
      <c r="H801" s="14" t="n">
        <v>3.93</v>
      </c>
      <c r="I801" s="9" t="s">
        <v>2360</v>
      </c>
      <c r="J801" s="6"/>
      <c r="K801" s="6" t="s">
        <v>3113</v>
      </c>
      <c r="L801" s="9" t="s">
        <v>1911</v>
      </c>
    </row>
    <row r="802" customFormat="false" ht="15" hidden="false" customHeight="false" outlineLevel="0" collapsed="false">
      <c r="A802" s="6" t="s">
        <v>352</v>
      </c>
      <c r="B802" s="6" t="s">
        <v>3105</v>
      </c>
      <c r="C802" s="6" t="s">
        <v>2604</v>
      </c>
      <c r="D802" s="6" t="s">
        <v>2589</v>
      </c>
      <c r="E802" s="6" t="s">
        <v>2667</v>
      </c>
      <c r="F802" s="10" t="n">
        <v>527984</v>
      </c>
      <c r="G802" s="10" t="n">
        <v>10000000000</v>
      </c>
      <c r="H802" s="14" t="n">
        <v>0.83</v>
      </c>
      <c r="I802" s="9" t="s">
        <v>2366</v>
      </c>
      <c r="J802" s="6"/>
      <c r="K802" s="6" t="s">
        <v>3105</v>
      </c>
      <c r="L802" s="9" t="s">
        <v>1911</v>
      </c>
    </row>
    <row r="803" customFormat="false" ht="15" hidden="false" customHeight="false" outlineLevel="0" collapsed="false">
      <c r="A803" s="6" t="s">
        <v>269</v>
      </c>
      <c r="B803" s="6" t="s">
        <v>3114</v>
      </c>
      <c r="C803" s="6" t="s">
        <v>2594</v>
      </c>
      <c r="D803" s="6" t="s">
        <v>2733</v>
      </c>
      <c r="E803" s="6" t="s">
        <v>2667</v>
      </c>
      <c r="F803" s="10" t="n">
        <v>38369</v>
      </c>
      <c r="G803" s="10" t="n">
        <v>950000000</v>
      </c>
      <c r="H803" s="14" t="n">
        <v>0.1</v>
      </c>
      <c r="I803" s="9" t="s">
        <v>3115</v>
      </c>
      <c r="J803" s="6"/>
      <c r="K803" s="6" t="s">
        <v>3114</v>
      </c>
      <c r="L803" s="9" t="s">
        <v>2068</v>
      </c>
    </row>
    <row r="804" customFormat="false" ht="15" hidden="false" customHeight="false" outlineLevel="0" collapsed="false">
      <c r="A804" s="6" t="s">
        <v>356</v>
      </c>
      <c r="B804" s="6" t="s">
        <v>3116</v>
      </c>
      <c r="C804" s="6" t="s">
        <v>2604</v>
      </c>
      <c r="D804" s="6" t="s">
        <v>2786</v>
      </c>
      <c r="E804" s="6" t="s">
        <v>2665</v>
      </c>
      <c r="F804" s="10" t="n">
        <v>5172911</v>
      </c>
      <c r="G804" s="10" t="n">
        <v>270000000000</v>
      </c>
      <c r="H804" s="14" t="n">
        <v>18.75</v>
      </c>
      <c r="I804" s="9" t="s">
        <v>2358</v>
      </c>
      <c r="J804" s="9" t="s">
        <v>1880</v>
      </c>
      <c r="K804" s="9" t="s">
        <v>2645</v>
      </c>
      <c r="L804" s="9" t="s">
        <v>1882</v>
      </c>
    </row>
    <row r="805" customFormat="false" ht="15" hidden="false" customHeight="false" outlineLevel="0" collapsed="false">
      <c r="A805" s="6" t="s">
        <v>293</v>
      </c>
      <c r="B805" s="9" t="s">
        <v>3117</v>
      </c>
      <c r="C805" s="6" t="s">
        <v>2604</v>
      </c>
      <c r="D805" s="6" t="s">
        <v>3118</v>
      </c>
      <c r="E805" s="6" t="s">
        <v>3119</v>
      </c>
      <c r="F805" s="10" t="n">
        <v>5355651</v>
      </c>
      <c r="G805" s="10" t="n">
        <v>675000000000</v>
      </c>
      <c r="H805" s="14" t="n">
        <v>42.79</v>
      </c>
      <c r="I805" s="9" t="s">
        <v>3120</v>
      </c>
      <c r="J805" s="9" t="s">
        <v>1828</v>
      </c>
      <c r="K805" s="9" t="s">
        <v>3117</v>
      </c>
      <c r="L805" s="9" t="s">
        <v>1830</v>
      </c>
    </row>
    <row r="806" customFormat="false" ht="15" hidden="false" customHeight="false" outlineLevel="0" collapsed="false">
      <c r="A806" s="6" t="s">
        <v>293</v>
      </c>
      <c r="B806" s="9" t="s">
        <v>3117</v>
      </c>
      <c r="C806" s="6" t="s">
        <v>2604</v>
      </c>
      <c r="D806" s="6" t="s">
        <v>3121</v>
      </c>
      <c r="E806" s="6" t="s">
        <v>3119</v>
      </c>
      <c r="F806" s="10" t="n">
        <v>211140</v>
      </c>
      <c r="G806" s="10" t="n">
        <v>90000000000</v>
      </c>
      <c r="H806" s="14" t="n">
        <v>1.69</v>
      </c>
      <c r="I806" s="9" t="s">
        <v>3120</v>
      </c>
      <c r="J806" s="9" t="s">
        <v>1828</v>
      </c>
      <c r="K806" s="9" t="s">
        <v>3117</v>
      </c>
      <c r="L806" s="9" t="s">
        <v>1830</v>
      </c>
    </row>
    <row r="807" customFormat="false" ht="15" hidden="false" customHeight="false" outlineLevel="0" collapsed="false">
      <c r="A807" s="6" t="s">
        <v>293</v>
      </c>
      <c r="B807" s="9" t="s">
        <v>3117</v>
      </c>
      <c r="C807" s="6" t="s">
        <v>2604</v>
      </c>
      <c r="D807" s="6" t="s">
        <v>3118</v>
      </c>
      <c r="E807" s="6" t="s">
        <v>3119</v>
      </c>
      <c r="F807" s="10" t="n">
        <v>5355651</v>
      </c>
      <c r="G807" s="10" t="n">
        <v>675000000000</v>
      </c>
      <c r="H807" s="14" t="n">
        <v>42.79</v>
      </c>
      <c r="I807" s="9" t="s">
        <v>3120</v>
      </c>
      <c r="J807" s="9" t="s">
        <v>1828</v>
      </c>
      <c r="K807" s="9" t="s">
        <v>3117</v>
      </c>
      <c r="L807" s="9" t="s">
        <v>3122</v>
      </c>
    </row>
    <row r="808" customFormat="false" ht="15" hidden="false" customHeight="false" outlineLevel="0" collapsed="false">
      <c r="A808" s="6" t="s">
        <v>293</v>
      </c>
      <c r="B808" s="9" t="s">
        <v>3117</v>
      </c>
      <c r="C808" s="6" t="s">
        <v>2604</v>
      </c>
      <c r="D808" s="6" t="s">
        <v>3121</v>
      </c>
      <c r="E808" s="6" t="s">
        <v>3119</v>
      </c>
      <c r="F808" s="10" t="n">
        <v>211140</v>
      </c>
      <c r="G808" s="10" t="n">
        <v>90000000000</v>
      </c>
      <c r="H808" s="14" t="n">
        <v>1.69</v>
      </c>
      <c r="I808" s="9" t="s">
        <v>2211</v>
      </c>
      <c r="J808" s="9" t="s">
        <v>1828</v>
      </c>
      <c r="K808" s="9" t="s">
        <v>3117</v>
      </c>
      <c r="L808" s="9" t="s">
        <v>3122</v>
      </c>
    </row>
    <row r="809" customFormat="false" ht="15" hidden="false" customHeight="false" outlineLevel="0" collapsed="false">
      <c r="A809" s="9" t="s">
        <v>411</v>
      </c>
      <c r="B809" s="6" t="s">
        <v>3123</v>
      </c>
      <c r="C809" s="6" t="s">
        <v>2604</v>
      </c>
      <c r="D809" s="6" t="s">
        <v>3109</v>
      </c>
      <c r="E809" s="6" t="s">
        <v>3124</v>
      </c>
      <c r="F809" s="10" t="n">
        <v>6000000</v>
      </c>
      <c r="G809" s="10" t="n">
        <v>129560</v>
      </c>
      <c r="H809" s="14" t="n">
        <v>17.77</v>
      </c>
      <c r="I809" s="9" t="s">
        <v>3125</v>
      </c>
      <c r="J809" s="9" t="s">
        <v>1864</v>
      </c>
      <c r="K809" s="9" t="s">
        <v>3126</v>
      </c>
      <c r="L809" s="9" t="s">
        <v>1865</v>
      </c>
    </row>
    <row r="810" customFormat="false" ht="15" hidden="false" customHeight="false" outlineLevel="0" collapsed="false">
      <c r="A810" s="9" t="s">
        <v>411</v>
      </c>
      <c r="B810" s="6" t="s">
        <v>3123</v>
      </c>
      <c r="C810" s="6" t="s">
        <v>2604</v>
      </c>
      <c r="D810" s="6" t="s">
        <v>3109</v>
      </c>
      <c r="E810" s="6" t="s">
        <v>3124</v>
      </c>
      <c r="F810" s="10" t="n">
        <v>6000000</v>
      </c>
      <c r="G810" s="10" t="n">
        <v>129560</v>
      </c>
      <c r="H810" s="14" t="n">
        <v>18.32</v>
      </c>
      <c r="I810" s="9" t="s">
        <v>3125</v>
      </c>
      <c r="J810" s="9" t="s">
        <v>1864</v>
      </c>
      <c r="K810" s="9" t="s">
        <v>3126</v>
      </c>
      <c r="L810" s="9" t="s">
        <v>3127</v>
      </c>
    </row>
    <row r="811" customFormat="false" ht="15" hidden="false" customHeight="false" outlineLevel="0" collapsed="false">
      <c r="A811" s="6" t="s">
        <v>257</v>
      </c>
      <c r="B811" s="6" t="s">
        <v>3128</v>
      </c>
      <c r="C811" s="6" t="s">
        <v>2604</v>
      </c>
      <c r="D811" s="6" t="s">
        <v>2776</v>
      </c>
      <c r="E811" s="6" t="s">
        <v>3129</v>
      </c>
      <c r="F811" s="10" t="n">
        <v>3650000</v>
      </c>
      <c r="G811" s="10" t="n">
        <v>100000000000</v>
      </c>
      <c r="H811" s="14" t="n">
        <v>3.81</v>
      </c>
      <c r="I811" s="9" t="s">
        <v>3130</v>
      </c>
      <c r="J811" s="6"/>
      <c r="K811" s="6" t="s">
        <v>3128</v>
      </c>
      <c r="L811" s="9" t="s">
        <v>1819</v>
      </c>
    </row>
    <row r="812" customFormat="false" ht="15" hidden="false" customHeight="false" outlineLevel="0" collapsed="false">
      <c r="A812" s="6" t="s">
        <v>257</v>
      </c>
      <c r="B812" s="6" t="s">
        <v>3128</v>
      </c>
      <c r="C812" s="6" t="s">
        <v>2604</v>
      </c>
      <c r="D812" s="6" t="s">
        <v>2776</v>
      </c>
      <c r="E812" s="6" t="s">
        <v>2654</v>
      </c>
      <c r="F812" s="10" t="n">
        <v>6150000</v>
      </c>
      <c r="G812" s="10" t="n">
        <v>200000000000</v>
      </c>
      <c r="H812" s="14" t="n">
        <v>6.42</v>
      </c>
      <c r="I812" s="9" t="s">
        <v>2770</v>
      </c>
      <c r="J812" s="6"/>
      <c r="K812" s="6" t="s">
        <v>3128</v>
      </c>
      <c r="L812" s="9" t="s">
        <v>1819</v>
      </c>
    </row>
    <row r="813" customFormat="false" ht="15" hidden="false" customHeight="false" outlineLevel="0" collapsed="false">
      <c r="A813" s="6" t="s">
        <v>257</v>
      </c>
      <c r="B813" s="6" t="s">
        <v>3128</v>
      </c>
      <c r="C813" s="6" t="s">
        <v>2604</v>
      </c>
      <c r="D813" s="6" t="s">
        <v>2776</v>
      </c>
      <c r="E813" s="6" t="s">
        <v>3131</v>
      </c>
      <c r="F813" s="10" t="n">
        <v>3700000</v>
      </c>
      <c r="G813" s="10" t="n">
        <v>150000000000</v>
      </c>
      <c r="H813" s="14" t="n">
        <v>3.86</v>
      </c>
      <c r="I813" s="9" t="s">
        <v>3132</v>
      </c>
      <c r="J813" s="6"/>
      <c r="K813" s="6" t="s">
        <v>3128</v>
      </c>
      <c r="L813" s="9" t="s">
        <v>1819</v>
      </c>
    </row>
    <row r="814" customFormat="false" ht="15" hidden="false" customHeight="false" outlineLevel="0" collapsed="false">
      <c r="A814" s="6" t="s">
        <v>257</v>
      </c>
      <c r="B814" s="6" t="s">
        <v>3128</v>
      </c>
      <c r="C814" s="6" t="s">
        <v>2604</v>
      </c>
      <c r="D814" s="6" t="s">
        <v>2776</v>
      </c>
      <c r="E814" s="9" t="s">
        <v>3133</v>
      </c>
      <c r="F814" s="10" t="n">
        <v>3300000</v>
      </c>
      <c r="G814" s="10" t="n">
        <v>280000000000</v>
      </c>
      <c r="H814" s="14" t="n">
        <v>3.44</v>
      </c>
      <c r="I814" s="9" t="s">
        <v>3134</v>
      </c>
      <c r="J814" s="6"/>
      <c r="K814" s="6" t="s">
        <v>3128</v>
      </c>
      <c r="L814" s="9" t="s">
        <v>1819</v>
      </c>
    </row>
    <row r="815" customFormat="false" ht="15" hidden="false" customHeight="false" outlineLevel="0" collapsed="false">
      <c r="A815" s="6" t="s">
        <v>257</v>
      </c>
      <c r="B815" s="6" t="s">
        <v>3128</v>
      </c>
      <c r="C815" s="6" t="s">
        <v>2604</v>
      </c>
      <c r="D815" s="6" t="s">
        <v>2776</v>
      </c>
      <c r="E815" s="9" t="s">
        <v>2755</v>
      </c>
      <c r="F815" s="10" t="n">
        <v>4000000</v>
      </c>
      <c r="G815" s="10" t="n">
        <v>180000000000</v>
      </c>
      <c r="H815" s="14" t="n">
        <v>4.17</v>
      </c>
      <c r="I815" s="9" t="s">
        <v>2871</v>
      </c>
      <c r="J815" s="6"/>
      <c r="K815" s="6" t="s">
        <v>3128</v>
      </c>
      <c r="L815" s="9" t="s">
        <v>1819</v>
      </c>
    </row>
    <row r="816" customFormat="false" ht="15" hidden="false" customHeight="false" outlineLevel="0" collapsed="false">
      <c r="A816" s="6" t="s">
        <v>257</v>
      </c>
      <c r="B816" s="6" t="s">
        <v>3128</v>
      </c>
      <c r="C816" s="6" t="s">
        <v>2604</v>
      </c>
      <c r="D816" s="6" t="s">
        <v>2776</v>
      </c>
      <c r="E816" s="9" t="s">
        <v>2761</v>
      </c>
      <c r="F816" s="10" t="n">
        <v>1900000</v>
      </c>
      <c r="G816" s="10" t="n">
        <v>90000000000</v>
      </c>
      <c r="H816" s="14" t="n">
        <v>1.98</v>
      </c>
      <c r="I816" s="9" t="s">
        <v>2331</v>
      </c>
      <c r="J816" s="6"/>
      <c r="K816" s="6" t="s">
        <v>3128</v>
      </c>
      <c r="L816" s="9" t="s">
        <v>1819</v>
      </c>
    </row>
    <row r="817" customFormat="false" ht="15" hidden="false" customHeight="false" outlineLevel="0" collapsed="false">
      <c r="A817" s="6" t="s">
        <v>257</v>
      </c>
      <c r="B817" s="6" t="s">
        <v>3128</v>
      </c>
      <c r="C817" s="6" t="s">
        <v>2604</v>
      </c>
      <c r="D817" s="6" t="s">
        <v>2776</v>
      </c>
      <c r="E817" s="6" t="s">
        <v>3129</v>
      </c>
      <c r="F817" s="10" t="n">
        <v>3650000</v>
      </c>
      <c r="G817" s="10" t="n">
        <v>100000000000</v>
      </c>
      <c r="H817" s="14" t="n">
        <v>3.81</v>
      </c>
      <c r="I817" s="9" t="s">
        <v>3130</v>
      </c>
      <c r="J817" s="6"/>
      <c r="K817" s="6" t="s">
        <v>3128</v>
      </c>
      <c r="L817" s="9" t="s">
        <v>3135</v>
      </c>
    </row>
    <row r="818" customFormat="false" ht="15" hidden="false" customHeight="false" outlineLevel="0" collapsed="false">
      <c r="A818" s="6" t="s">
        <v>257</v>
      </c>
      <c r="B818" s="6" t="s">
        <v>3128</v>
      </c>
      <c r="C818" s="6" t="s">
        <v>2604</v>
      </c>
      <c r="D818" s="6" t="s">
        <v>2776</v>
      </c>
      <c r="E818" s="6" t="s">
        <v>2654</v>
      </c>
      <c r="F818" s="10" t="n">
        <v>6150000</v>
      </c>
      <c r="G818" s="10" t="n">
        <v>200000000000</v>
      </c>
      <c r="H818" s="14" t="n">
        <v>6.42</v>
      </c>
      <c r="I818" s="9" t="s">
        <v>2770</v>
      </c>
      <c r="J818" s="6"/>
      <c r="K818" s="6" t="s">
        <v>3128</v>
      </c>
      <c r="L818" s="9" t="s">
        <v>3135</v>
      </c>
    </row>
    <row r="819" customFormat="false" ht="15" hidden="false" customHeight="false" outlineLevel="0" collapsed="false">
      <c r="A819" s="6" t="s">
        <v>257</v>
      </c>
      <c r="B819" s="6" t="s">
        <v>3128</v>
      </c>
      <c r="C819" s="6" t="s">
        <v>2604</v>
      </c>
      <c r="D819" s="6" t="s">
        <v>2776</v>
      </c>
      <c r="E819" s="6" t="s">
        <v>3131</v>
      </c>
      <c r="F819" s="10" t="n">
        <v>3700000</v>
      </c>
      <c r="G819" s="10" t="n">
        <v>150000000000</v>
      </c>
      <c r="H819" s="14" t="n">
        <v>3.86</v>
      </c>
      <c r="I819" s="9" t="s">
        <v>3132</v>
      </c>
      <c r="J819" s="6"/>
      <c r="K819" s="6" t="s">
        <v>3128</v>
      </c>
      <c r="L819" s="9" t="s">
        <v>3135</v>
      </c>
    </row>
    <row r="820" customFormat="false" ht="15" hidden="false" customHeight="false" outlineLevel="0" collapsed="false">
      <c r="A820" s="6" t="s">
        <v>257</v>
      </c>
      <c r="B820" s="6" t="s">
        <v>3128</v>
      </c>
      <c r="C820" s="6" t="s">
        <v>2604</v>
      </c>
      <c r="D820" s="6" t="s">
        <v>2776</v>
      </c>
      <c r="E820" s="9" t="s">
        <v>3133</v>
      </c>
      <c r="F820" s="10" t="n">
        <v>3300000</v>
      </c>
      <c r="G820" s="10" t="n">
        <v>280000000000</v>
      </c>
      <c r="H820" s="14" t="n">
        <v>3.44</v>
      </c>
      <c r="I820" s="9" t="s">
        <v>3134</v>
      </c>
      <c r="J820" s="6"/>
      <c r="K820" s="6" t="s">
        <v>3128</v>
      </c>
      <c r="L820" s="9" t="s">
        <v>3135</v>
      </c>
    </row>
    <row r="821" customFormat="false" ht="15" hidden="false" customHeight="false" outlineLevel="0" collapsed="false">
      <c r="A821" s="6" t="s">
        <v>257</v>
      </c>
      <c r="B821" s="6" t="s">
        <v>3128</v>
      </c>
      <c r="C821" s="6" t="s">
        <v>2604</v>
      </c>
      <c r="D821" s="6" t="s">
        <v>2776</v>
      </c>
      <c r="E821" s="9" t="s">
        <v>2755</v>
      </c>
      <c r="F821" s="10" t="n">
        <v>4000000</v>
      </c>
      <c r="G821" s="10" t="n">
        <v>180000000000</v>
      </c>
      <c r="H821" s="14" t="n">
        <v>4.17</v>
      </c>
      <c r="I821" s="9" t="s">
        <v>2871</v>
      </c>
      <c r="J821" s="6"/>
      <c r="K821" s="6" t="s">
        <v>3128</v>
      </c>
      <c r="L821" s="9" t="s">
        <v>3135</v>
      </c>
    </row>
    <row r="822" customFormat="false" ht="15" hidden="false" customHeight="false" outlineLevel="0" collapsed="false">
      <c r="A822" s="6" t="s">
        <v>257</v>
      </c>
      <c r="B822" s="6" t="s">
        <v>3128</v>
      </c>
      <c r="C822" s="6" t="s">
        <v>2604</v>
      </c>
      <c r="D822" s="6" t="s">
        <v>2776</v>
      </c>
      <c r="E822" s="9" t="s">
        <v>2761</v>
      </c>
      <c r="F822" s="10" t="n">
        <v>1900000</v>
      </c>
      <c r="G822" s="10" t="n">
        <v>90000000000</v>
      </c>
      <c r="H822" s="14" t="n">
        <v>1.98</v>
      </c>
      <c r="I822" s="9" t="s">
        <v>2331</v>
      </c>
      <c r="J822" s="6"/>
      <c r="K822" s="6" t="s">
        <v>3128</v>
      </c>
      <c r="L822" s="9" t="s">
        <v>3135</v>
      </c>
    </row>
    <row r="823" customFormat="false" ht="15" hidden="false" customHeight="false" outlineLevel="0" collapsed="false">
      <c r="A823" s="6" t="s">
        <v>257</v>
      </c>
      <c r="B823" s="6" t="s">
        <v>3128</v>
      </c>
      <c r="C823" s="6" t="s">
        <v>2604</v>
      </c>
      <c r="D823" s="6" t="s">
        <v>2776</v>
      </c>
      <c r="E823" s="6" t="s">
        <v>2738</v>
      </c>
      <c r="F823" s="10" t="n">
        <v>4760000</v>
      </c>
      <c r="G823" s="10" t="n">
        <v>180000000000</v>
      </c>
      <c r="H823" s="14" t="n">
        <v>4.97</v>
      </c>
      <c r="I823" s="9" t="s">
        <v>2485</v>
      </c>
      <c r="J823" s="6"/>
      <c r="K823" s="6" t="s">
        <v>3128</v>
      </c>
      <c r="L823" s="9" t="s">
        <v>3135</v>
      </c>
    </row>
    <row r="824" customFormat="false" ht="15" hidden="false" customHeight="false" outlineLevel="0" collapsed="false">
      <c r="A824" s="9" t="s">
        <v>90</v>
      </c>
      <c r="B824" s="6" t="s">
        <v>3136</v>
      </c>
      <c r="C824" s="6" t="s">
        <v>2604</v>
      </c>
      <c r="D824" s="6" t="s">
        <v>3137</v>
      </c>
      <c r="E824" s="9" t="s">
        <v>3138</v>
      </c>
      <c r="F824" s="10" t="n">
        <v>20867000</v>
      </c>
      <c r="G824" s="10" t="n">
        <v>75900000000</v>
      </c>
      <c r="H824" s="14" t="n">
        <v>40.33</v>
      </c>
      <c r="I824" s="9" t="s">
        <v>3139</v>
      </c>
      <c r="J824" s="6"/>
      <c r="K824" s="9" t="s">
        <v>2645</v>
      </c>
      <c r="L824" s="9" t="s">
        <v>1967</v>
      </c>
    </row>
    <row r="825" customFormat="false" ht="15" hidden="false" customHeight="false" outlineLevel="0" collapsed="false">
      <c r="A825" s="6" t="s">
        <v>160</v>
      </c>
      <c r="B825" s="6" t="s">
        <v>3140</v>
      </c>
      <c r="C825" s="6" t="s">
        <v>2604</v>
      </c>
      <c r="D825" s="6" t="s">
        <v>3141</v>
      </c>
      <c r="E825" s="9" t="s">
        <v>3142</v>
      </c>
      <c r="F825" s="10" t="n">
        <v>600000</v>
      </c>
      <c r="G825" s="10"/>
      <c r="H825" s="14" t="n">
        <v>5.59</v>
      </c>
      <c r="I825" s="9" t="s">
        <v>2199</v>
      </c>
      <c r="J825" s="6"/>
      <c r="K825" s="6"/>
      <c r="L825" s="9" t="s">
        <v>2045</v>
      </c>
    </row>
    <row r="826" customFormat="false" ht="15" hidden="false" customHeight="false" outlineLevel="0" collapsed="false">
      <c r="A826" s="6" t="s">
        <v>160</v>
      </c>
      <c r="B826" s="6" t="s">
        <v>3140</v>
      </c>
      <c r="C826" s="6" t="s">
        <v>2588</v>
      </c>
      <c r="D826" s="6" t="s">
        <v>3141</v>
      </c>
      <c r="E826" s="9" t="s">
        <v>3142</v>
      </c>
      <c r="F826" s="10" t="n">
        <v>600000</v>
      </c>
      <c r="G826" s="10"/>
      <c r="H826" s="14" t="n">
        <v>5.59</v>
      </c>
      <c r="I826" s="9" t="s">
        <v>2199</v>
      </c>
      <c r="J826" s="6"/>
      <c r="K826" s="6"/>
      <c r="L826" s="9" t="s">
        <v>3143</v>
      </c>
    </row>
    <row r="827" customFormat="false" ht="15" hidden="false" customHeight="false" outlineLevel="0" collapsed="false">
      <c r="A827" s="6" t="s">
        <v>160</v>
      </c>
      <c r="B827" s="9" t="s">
        <v>3142</v>
      </c>
      <c r="C827" s="6" t="s">
        <v>2604</v>
      </c>
      <c r="D827" s="6" t="s">
        <v>3141</v>
      </c>
      <c r="E827" s="6" t="s">
        <v>3140</v>
      </c>
      <c r="F827" s="10" t="n">
        <v>550000</v>
      </c>
      <c r="G827" s="10"/>
      <c r="H827" s="14" t="n">
        <v>5.12</v>
      </c>
      <c r="I827" s="9" t="s">
        <v>2199</v>
      </c>
      <c r="J827" s="6"/>
      <c r="K827" s="6"/>
      <c r="L827" s="9" t="s">
        <v>3143</v>
      </c>
    </row>
    <row r="828" customFormat="false" ht="15" hidden="false" customHeight="false" outlineLevel="0" collapsed="false">
      <c r="A828" s="6" t="s">
        <v>359</v>
      </c>
      <c r="B828" s="6" t="s">
        <v>3144</v>
      </c>
      <c r="C828" s="6" t="s">
        <v>2604</v>
      </c>
      <c r="D828" s="6" t="s">
        <v>22</v>
      </c>
      <c r="E828" s="6" t="s">
        <v>2665</v>
      </c>
      <c r="F828" s="10" t="n">
        <v>100000</v>
      </c>
      <c r="G828" s="10" t="n">
        <v>1500000000</v>
      </c>
      <c r="H828" s="14" t="n">
        <v>0.16</v>
      </c>
      <c r="I828" s="9" t="s">
        <v>3145</v>
      </c>
      <c r="J828" s="9" t="s">
        <v>3146</v>
      </c>
      <c r="K828" s="9" t="s">
        <v>2645</v>
      </c>
      <c r="L828" s="9" t="s">
        <v>2029</v>
      </c>
    </row>
    <row r="829" customFormat="false" ht="15" hidden="false" customHeight="false" outlineLevel="0" collapsed="false">
      <c r="A829" s="6" t="s">
        <v>359</v>
      </c>
      <c r="B829" s="6" t="s">
        <v>3147</v>
      </c>
      <c r="C829" s="6" t="s">
        <v>2594</v>
      </c>
      <c r="D829" s="6" t="s">
        <v>22</v>
      </c>
      <c r="E829" s="6" t="s">
        <v>359</v>
      </c>
      <c r="F829" s="10" t="n">
        <v>14249</v>
      </c>
      <c r="G829" s="10" t="n">
        <v>500000000</v>
      </c>
      <c r="H829" s="14" t="n">
        <v>0.02</v>
      </c>
      <c r="I829" s="9" t="s">
        <v>2368</v>
      </c>
      <c r="J829" s="9" t="s">
        <v>2027</v>
      </c>
      <c r="K829" s="9" t="s">
        <v>2645</v>
      </c>
      <c r="L829" s="9" t="s">
        <v>2029</v>
      </c>
    </row>
    <row r="830" customFormat="false" ht="15" hidden="false" customHeight="false" outlineLevel="0" collapsed="false">
      <c r="A830" s="6" t="s">
        <v>359</v>
      </c>
      <c r="B830" s="6" t="s">
        <v>3147</v>
      </c>
      <c r="C830" s="6" t="s">
        <v>2594</v>
      </c>
      <c r="D830" s="6" t="s">
        <v>22</v>
      </c>
      <c r="E830" s="6" t="s">
        <v>359</v>
      </c>
      <c r="F830" s="10" t="n">
        <v>37351</v>
      </c>
      <c r="G830" s="10" t="n">
        <v>1000000000</v>
      </c>
      <c r="H830" s="14" t="n">
        <v>0.06</v>
      </c>
      <c r="I830" s="9" t="s">
        <v>3148</v>
      </c>
      <c r="J830" s="9" t="s">
        <v>2412</v>
      </c>
      <c r="K830" s="9" t="s">
        <v>2645</v>
      </c>
      <c r="L830" s="9" t="s">
        <v>2029</v>
      </c>
    </row>
    <row r="831" customFormat="false" ht="15" hidden="false" customHeight="false" outlineLevel="0" collapsed="false">
      <c r="A831" s="6" t="s">
        <v>359</v>
      </c>
      <c r="B831" s="6" t="s">
        <v>3144</v>
      </c>
      <c r="C831" s="6" t="s">
        <v>2604</v>
      </c>
      <c r="D831" s="6" t="s">
        <v>22</v>
      </c>
      <c r="E831" s="6" t="s">
        <v>2665</v>
      </c>
      <c r="F831" s="10" t="n">
        <v>100000</v>
      </c>
      <c r="G831" s="10" t="n">
        <v>1500000000</v>
      </c>
      <c r="H831" s="14" t="n">
        <v>0.16</v>
      </c>
      <c r="I831" s="9" t="s">
        <v>3145</v>
      </c>
      <c r="J831" s="9" t="s">
        <v>3146</v>
      </c>
      <c r="K831" s="9" t="s">
        <v>2645</v>
      </c>
      <c r="L831" s="9" t="s">
        <v>3149</v>
      </c>
    </row>
    <row r="832" customFormat="false" ht="15" hidden="false" customHeight="false" outlineLevel="0" collapsed="false">
      <c r="A832" s="6" t="s">
        <v>359</v>
      </c>
      <c r="B832" s="6" t="s">
        <v>3147</v>
      </c>
      <c r="C832" s="6" t="s">
        <v>2594</v>
      </c>
      <c r="D832" s="6" t="s">
        <v>22</v>
      </c>
      <c r="E832" s="6" t="s">
        <v>359</v>
      </c>
      <c r="F832" s="10" t="n">
        <v>14249</v>
      </c>
      <c r="G832" s="10" t="n">
        <v>500000000</v>
      </c>
      <c r="H832" s="14" t="n">
        <v>0.02</v>
      </c>
      <c r="I832" s="9" t="s">
        <v>2368</v>
      </c>
      <c r="J832" s="9" t="s">
        <v>2027</v>
      </c>
      <c r="K832" s="9" t="s">
        <v>2645</v>
      </c>
      <c r="L832" s="9" t="s">
        <v>3149</v>
      </c>
    </row>
    <row r="833" customFormat="false" ht="15" hidden="false" customHeight="false" outlineLevel="0" collapsed="false">
      <c r="A833" s="6" t="s">
        <v>359</v>
      </c>
      <c r="B833" s="6" t="s">
        <v>3147</v>
      </c>
      <c r="C833" s="6" t="s">
        <v>2594</v>
      </c>
      <c r="D833" s="6" t="s">
        <v>22</v>
      </c>
      <c r="E833" s="6" t="s">
        <v>359</v>
      </c>
      <c r="F833" s="10" t="n">
        <v>20952</v>
      </c>
      <c r="G833" s="10" t="n">
        <v>1000000000</v>
      </c>
      <c r="H833" s="14" t="n">
        <v>0.03</v>
      </c>
      <c r="I833" s="9" t="s">
        <v>2424</v>
      </c>
      <c r="J833" s="9" t="s">
        <v>3150</v>
      </c>
      <c r="K833" s="9" t="s">
        <v>2645</v>
      </c>
      <c r="L833" s="9" t="s">
        <v>3149</v>
      </c>
    </row>
    <row r="834" customFormat="false" ht="15" hidden="false" customHeight="false" outlineLevel="0" collapsed="false">
      <c r="A834" s="6" t="s">
        <v>239</v>
      </c>
      <c r="B834" s="6" t="s">
        <v>228</v>
      </c>
      <c r="C834" s="6" t="s">
        <v>2604</v>
      </c>
      <c r="D834" s="6" t="s">
        <v>2989</v>
      </c>
      <c r="E834" s="6" t="s">
        <v>2628</v>
      </c>
      <c r="F834" s="10" t="n">
        <v>764430</v>
      </c>
      <c r="G834" s="10"/>
      <c r="H834" s="14" t="n">
        <v>0.78</v>
      </c>
      <c r="I834" s="9" t="s">
        <v>3151</v>
      </c>
      <c r="J834" s="6"/>
      <c r="K834" s="6"/>
      <c r="L834" s="9" t="s">
        <v>1845</v>
      </c>
    </row>
    <row r="835" customFormat="false" ht="15" hidden="false" customHeight="false" outlineLevel="0" collapsed="false">
      <c r="A835" s="6" t="s">
        <v>239</v>
      </c>
      <c r="B835" s="6" t="s">
        <v>228</v>
      </c>
      <c r="C835" s="6" t="s">
        <v>2604</v>
      </c>
      <c r="D835" s="6" t="s">
        <v>2989</v>
      </c>
      <c r="E835" s="6" t="s">
        <v>2628</v>
      </c>
      <c r="F835" s="10" t="n">
        <v>1065570</v>
      </c>
      <c r="G835" s="10" t="n">
        <v>20000000000</v>
      </c>
      <c r="H835" s="14" t="n">
        <v>1.09</v>
      </c>
      <c r="I835" s="9" t="s">
        <v>3151</v>
      </c>
      <c r="J835" s="6"/>
      <c r="K835" s="9" t="s">
        <v>2645</v>
      </c>
      <c r="L835" s="9" t="s">
        <v>1845</v>
      </c>
    </row>
    <row r="836" customFormat="false" ht="15" hidden="false" customHeight="false" outlineLevel="0" collapsed="false">
      <c r="A836" s="6" t="s">
        <v>239</v>
      </c>
      <c r="B836" s="6" t="s">
        <v>228</v>
      </c>
      <c r="C836" s="6" t="s">
        <v>2604</v>
      </c>
      <c r="D836" s="6" t="s">
        <v>2989</v>
      </c>
      <c r="E836" s="9" t="s">
        <v>3152</v>
      </c>
      <c r="F836" s="10" t="n">
        <v>950000</v>
      </c>
      <c r="G836" s="10"/>
      <c r="H836" s="14" t="n">
        <v>0.97</v>
      </c>
      <c r="I836" s="9" t="s">
        <v>3153</v>
      </c>
      <c r="J836" s="6"/>
      <c r="K836" s="6"/>
      <c r="L836" s="9" t="s">
        <v>1845</v>
      </c>
    </row>
    <row r="837" customFormat="false" ht="15" hidden="false" customHeight="false" outlineLevel="0" collapsed="false">
      <c r="A837" s="6" t="s">
        <v>239</v>
      </c>
      <c r="B837" s="6" t="s">
        <v>228</v>
      </c>
      <c r="C837" s="6" t="s">
        <v>2604</v>
      </c>
      <c r="D837" s="6" t="s">
        <v>2989</v>
      </c>
      <c r="E837" s="6" t="s">
        <v>3154</v>
      </c>
      <c r="F837" s="10" t="n">
        <v>900176</v>
      </c>
      <c r="G837" s="10" t="n">
        <v>80000000000</v>
      </c>
      <c r="H837" s="14" t="n">
        <v>0.92</v>
      </c>
      <c r="I837" s="9" t="s">
        <v>3155</v>
      </c>
      <c r="J837" s="6"/>
      <c r="K837" s="9" t="s">
        <v>2645</v>
      </c>
      <c r="L837" s="9" t="s">
        <v>1845</v>
      </c>
    </row>
    <row r="838" customFormat="false" ht="15" hidden="false" customHeight="false" outlineLevel="0" collapsed="false">
      <c r="A838" s="6" t="s">
        <v>239</v>
      </c>
      <c r="B838" s="6" t="s">
        <v>228</v>
      </c>
      <c r="C838" s="6" t="s">
        <v>2604</v>
      </c>
      <c r="D838" s="6" t="s">
        <v>2989</v>
      </c>
      <c r="E838" s="6" t="s">
        <v>3154</v>
      </c>
      <c r="F838" s="10" t="n">
        <v>900176</v>
      </c>
      <c r="G838" s="10" t="n">
        <v>100000000000</v>
      </c>
      <c r="H838" s="14" t="n">
        <v>0.92</v>
      </c>
      <c r="I838" s="9" t="s">
        <v>3155</v>
      </c>
      <c r="J838" s="6"/>
      <c r="K838" s="9" t="s">
        <v>2645</v>
      </c>
      <c r="L838" s="9" t="s">
        <v>1845</v>
      </c>
    </row>
    <row r="839" customFormat="false" ht="15" hidden="false" customHeight="false" outlineLevel="0" collapsed="false">
      <c r="A839" s="6" t="s">
        <v>239</v>
      </c>
      <c r="B839" s="6" t="s">
        <v>228</v>
      </c>
      <c r="C839" s="6" t="s">
        <v>2604</v>
      </c>
      <c r="D839" s="6" t="s">
        <v>2989</v>
      </c>
      <c r="E839" s="6" t="s">
        <v>3156</v>
      </c>
      <c r="F839" s="10" t="n">
        <v>1729107</v>
      </c>
      <c r="G839" s="10"/>
      <c r="H839" s="14" t="n">
        <v>1.77</v>
      </c>
      <c r="I839" s="9" t="s">
        <v>2380</v>
      </c>
      <c r="J839" s="6"/>
      <c r="K839" s="6"/>
      <c r="L839" s="9" t="s">
        <v>1845</v>
      </c>
    </row>
    <row r="840" customFormat="false" ht="15" hidden="false" customHeight="false" outlineLevel="0" collapsed="false">
      <c r="A840" s="6" t="s">
        <v>239</v>
      </c>
      <c r="B840" s="6" t="s">
        <v>228</v>
      </c>
      <c r="C840" s="6" t="s">
        <v>2604</v>
      </c>
      <c r="D840" s="6" t="s">
        <v>2989</v>
      </c>
      <c r="E840" s="6" t="s">
        <v>3156</v>
      </c>
      <c r="F840" s="10" t="n">
        <v>2135313</v>
      </c>
      <c r="G840" s="10"/>
      <c r="H840" s="14" t="n">
        <v>2.18</v>
      </c>
      <c r="I840" s="9" t="s">
        <v>2345</v>
      </c>
      <c r="J840" s="6"/>
      <c r="K840" s="6"/>
      <c r="L840" s="9" t="s">
        <v>1845</v>
      </c>
    </row>
    <row r="841" customFormat="false" ht="15" hidden="false" customHeight="false" outlineLevel="0" collapsed="false">
      <c r="A841" s="6" t="s">
        <v>239</v>
      </c>
      <c r="B841" s="6" t="s">
        <v>228</v>
      </c>
      <c r="C841" s="6" t="s">
        <v>2604</v>
      </c>
      <c r="D841" s="6" t="s">
        <v>2989</v>
      </c>
      <c r="E841" s="6" t="s">
        <v>2667</v>
      </c>
      <c r="F841" s="10" t="n">
        <v>347625</v>
      </c>
      <c r="G841" s="10"/>
      <c r="H841" s="14" t="n">
        <v>0.36</v>
      </c>
      <c r="I841" s="9" t="s">
        <v>3091</v>
      </c>
      <c r="J841" s="6"/>
      <c r="K841" s="6"/>
      <c r="L841" s="9" t="s">
        <v>1845</v>
      </c>
    </row>
    <row r="842" customFormat="false" ht="15" hidden="false" customHeight="false" outlineLevel="0" collapsed="false">
      <c r="A842" s="6" t="s">
        <v>239</v>
      </c>
      <c r="B842" s="6" t="s">
        <v>228</v>
      </c>
      <c r="C842" s="6" t="s">
        <v>2604</v>
      </c>
      <c r="D842" s="6" t="s">
        <v>2989</v>
      </c>
      <c r="E842" s="9" t="s">
        <v>2878</v>
      </c>
      <c r="F842" s="10" t="n">
        <v>289687</v>
      </c>
      <c r="G842" s="10"/>
      <c r="H842" s="14" t="n">
        <v>0.3</v>
      </c>
      <c r="I842" s="9" t="s">
        <v>3091</v>
      </c>
      <c r="J842" s="6"/>
      <c r="K842" s="6"/>
      <c r="L842" s="9" t="s">
        <v>1845</v>
      </c>
    </row>
    <row r="843" customFormat="false" ht="15" hidden="false" customHeight="false" outlineLevel="0" collapsed="false">
      <c r="A843" s="6" t="s">
        <v>239</v>
      </c>
      <c r="B843" s="6" t="s">
        <v>228</v>
      </c>
      <c r="C843" s="6" t="s">
        <v>2604</v>
      </c>
      <c r="D843" s="6" t="s">
        <v>2989</v>
      </c>
      <c r="E843" s="6" t="s">
        <v>2854</v>
      </c>
      <c r="F843" s="10" t="n">
        <v>202781</v>
      </c>
      <c r="G843" s="10" t="n">
        <v>20000000000</v>
      </c>
      <c r="H843" s="14" t="n">
        <v>0.21</v>
      </c>
      <c r="I843" s="9" t="s">
        <v>3091</v>
      </c>
      <c r="J843" s="6"/>
      <c r="K843" s="9" t="s">
        <v>2645</v>
      </c>
      <c r="L843" s="9" t="s">
        <v>1845</v>
      </c>
    </row>
    <row r="844" customFormat="false" ht="15" hidden="false" customHeight="false" outlineLevel="0" collapsed="false">
      <c r="A844" s="6" t="s">
        <v>239</v>
      </c>
      <c r="B844" s="6" t="s">
        <v>228</v>
      </c>
      <c r="C844" s="6" t="s">
        <v>2604</v>
      </c>
      <c r="D844" s="6" t="s">
        <v>2989</v>
      </c>
      <c r="E844" s="6" t="s">
        <v>2950</v>
      </c>
      <c r="F844" s="10" t="n">
        <v>144844</v>
      </c>
      <c r="G844" s="10" t="n">
        <v>20000000000</v>
      </c>
      <c r="H844" s="14" t="n">
        <v>0.15</v>
      </c>
      <c r="I844" s="9" t="s">
        <v>3091</v>
      </c>
      <c r="J844" s="6"/>
      <c r="K844" s="9" t="s">
        <v>2645</v>
      </c>
      <c r="L844" s="9" t="s">
        <v>1845</v>
      </c>
    </row>
    <row r="845" customFormat="false" ht="15" hidden="false" customHeight="false" outlineLevel="0" collapsed="false">
      <c r="A845" s="6" t="s">
        <v>239</v>
      </c>
      <c r="B845" s="6" t="s">
        <v>3004</v>
      </c>
      <c r="C845" s="6" t="s">
        <v>2594</v>
      </c>
      <c r="D845" s="6" t="s">
        <v>2989</v>
      </c>
      <c r="E845" s="6" t="s">
        <v>2665</v>
      </c>
      <c r="F845" s="10" t="n">
        <v>251636</v>
      </c>
      <c r="G845" s="10" t="n">
        <v>10000000000</v>
      </c>
      <c r="H845" s="14" t="n">
        <v>0.26</v>
      </c>
      <c r="I845" s="9" t="s">
        <v>3007</v>
      </c>
      <c r="J845" s="6"/>
      <c r="K845" s="9" t="s">
        <v>2645</v>
      </c>
      <c r="L845" s="9" t="s">
        <v>1845</v>
      </c>
    </row>
    <row r="846" customFormat="false" ht="15" hidden="false" customHeight="false" outlineLevel="0" collapsed="false">
      <c r="A846" s="6" t="s">
        <v>239</v>
      </c>
      <c r="B846" s="6" t="s">
        <v>3004</v>
      </c>
      <c r="C846" s="6" t="s">
        <v>2594</v>
      </c>
      <c r="D846" s="6" t="s">
        <v>2989</v>
      </c>
      <c r="E846" s="6" t="s">
        <v>2665</v>
      </c>
      <c r="F846" s="10" t="n">
        <v>251636</v>
      </c>
      <c r="G846" s="10" t="n">
        <v>10000000000</v>
      </c>
      <c r="H846" s="14" t="n">
        <v>0.26</v>
      </c>
      <c r="I846" s="9" t="s">
        <v>3008</v>
      </c>
      <c r="J846" s="6"/>
      <c r="K846" s="9" t="s">
        <v>2645</v>
      </c>
      <c r="L846" s="9" t="s">
        <v>1845</v>
      </c>
    </row>
    <row r="847" customFormat="false" ht="15" hidden="false" customHeight="false" outlineLevel="0" collapsed="false">
      <c r="A847" s="6" t="s">
        <v>239</v>
      </c>
      <c r="B847" s="6" t="s">
        <v>3004</v>
      </c>
      <c r="C847" s="6" t="s">
        <v>2594</v>
      </c>
      <c r="D847" s="6" t="s">
        <v>2989</v>
      </c>
      <c r="E847" s="6" t="s">
        <v>2665</v>
      </c>
      <c r="F847" s="10" t="n">
        <v>125818</v>
      </c>
      <c r="G847" s="10" t="n">
        <v>10000000000</v>
      </c>
      <c r="H847" s="14" t="n">
        <v>0.13</v>
      </c>
      <c r="I847" s="9" t="s">
        <v>3009</v>
      </c>
      <c r="J847" s="6"/>
      <c r="K847" s="9" t="s">
        <v>2645</v>
      </c>
      <c r="L847" s="9" t="s">
        <v>1845</v>
      </c>
    </row>
    <row r="848" customFormat="false" ht="15" hidden="false" customHeight="false" outlineLevel="0" collapsed="false">
      <c r="A848" s="6" t="s">
        <v>239</v>
      </c>
      <c r="B848" s="6" t="s">
        <v>3004</v>
      </c>
      <c r="C848" s="6" t="s">
        <v>2594</v>
      </c>
      <c r="D848" s="6" t="s">
        <v>2989</v>
      </c>
      <c r="E848" s="6" t="s">
        <v>2665</v>
      </c>
      <c r="F848" s="10" t="n">
        <v>125818</v>
      </c>
      <c r="G848" s="10" t="n">
        <v>27500000000</v>
      </c>
      <c r="H848" s="14" t="n">
        <v>0.13</v>
      </c>
      <c r="I848" s="9" t="s">
        <v>2706</v>
      </c>
      <c r="J848" s="6"/>
      <c r="K848" s="9" t="s">
        <v>2645</v>
      </c>
      <c r="L848" s="9" t="s">
        <v>1845</v>
      </c>
    </row>
    <row r="849" customFormat="false" ht="15" hidden="false" customHeight="false" outlineLevel="0" collapsed="false">
      <c r="A849" s="6" t="s">
        <v>239</v>
      </c>
      <c r="B849" s="6" t="s">
        <v>3004</v>
      </c>
      <c r="C849" s="6" t="s">
        <v>2594</v>
      </c>
      <c r="D849" s="6" t="s">
        <v>2989</v>
      </c>
      <c r="E849" s="6" t="s">
        <v>2665</v>
      </c>
      <c r="F849" s="10" t="n">
        <v>125818</v>
      </c>
      <c r="G849" s="10" t="n">
        <v>40000000000</v>
      </c>
      <c r="H849" s="14" t="n">
        <v>0.13</v>
      </c>
      <c r="I849" s="9" t="s">
        <v>3010</v>
      </c>
      <c r="J849" s="6"/>
      <c r="K849" s="9" t="s">
        <v>2645</v>
      </c>
      <c r="L849" s="9" t="s">
        <v>1845</v>
      </c>
    </row>
    <row r="850" customFormat="false" ht="15" hidden="false" customHeight="false" outlineLevel="0" collapsed="false">
      <c r="A850" s="6" t="s">
        <v>239</v>
      </c>
      <c r="B850" s="6" t="s">
        <v>3004</v>
      </c>
      <c r="C850" s="6" t="s">
        <v>2594</v>
      </c>
      <c r="D850" s="6" t="s">
        <v>2989</v>
      </c>
      <c r="E850" s="6" t="s">
        <v>2665</v>
      </c>
      <c r="F850" s="10" t="n">
        <v>346000</v>
      </c>
      <c r="G850" s="10"/>
      <c r="H850" s="14" t="n">
        <v>0.35</v>
      </c>
      <c r="I850" s="9" t="s">
        <v>3011</v>
      </c>
      <c r="J850" s="6"/>
      <c r="K850" s="6"/>
      <c r="L850" s="9" t="s">
        <v>1845</v>
      </c>
    </row>
    <row r="851" customFormat="false" ht="15" hidden="false" customHeight="false" outlineLevel="0" collapsed="false">
      <c r="A851" s="6" t="s">
        <v>239</v>
      </c>
      <c r="B851" s="6" t="s">
        <v>3004</v>
      </c>
      <c r="C851" s="6" t="s">
        <v>2594</v>
      </c>
      <c r="D851" s="6" t="s">
        <v>2989</v>
      </c>
      <c r="E851" s="6" t="s">
        <v>2665</v>
      </c>
      <c r="F851" s="10" t="n">
        <v>503273</v>
      </c>
      <c r="G851" s="10" t="n">
        <v>10000000000</v>
      </c>
      <c r="H851" s="14" t="n">
        <v>0.51</v>
      </c>
      <c r="I851" s="9" t="s">
        <v>3012</v>
      </c>
      <c r="J851" s="6"/>
      <c r="K851" s="9" t="s">
        <v>2645</v>
      </c>
      <c r="L851" s="9" t="s">
        <v>1845</v>
      </c>
    </row>
    <row r="852" customFormat="false" ht="15" hidden="false" customHeight="false" outlineLevel="0" collapsed="false">
      <c r="A852" s="6" t="s">
        <v>239</v>
      </c>
      <c r="B852" s="6" t="s">
        <v>3004</v>
      </c>
      <c r="C852" s="6" t="s">
        <v>2594</v>
      </c>
      <c r="D852" s="6" t="s">
        <v>2989</v>
      </c>
      <c r="E852" s="6" t="s">
        <v>2972</v>
      </c>
      <c r="F852" s="10" t="n">
        <v>169349</v>
      </c>
      <c r="G852" s="10" t="n">
        <v>20000000000</v>
      </c>
      <c r="H852" s="14" t="n">
        <v>0.17</v>
      </c>
      <c r="I852" s="9" t="s">
        <v>3157</v>
      </c>
      <c r="J852" s="6"/>
      <c r="K852" s="9" t="s">
        <v>2645</v>
      </c>
      <c r="L852" s="9" t="s">
        <v>1845</v>
      </c>
    </row>
    <row r="853" customFormat="false" ht="15" hidden="false" customHeight="false" outlineLevel="0" collapsed="false">
      <c r="A853" s="6" t="s">
        <v>239</v>
      </c>
      <c r="B853" s="6" t="s">
        <v>3004</v>
      </c>
      <c r="C853" s="6" t="s">
        <v>2594</v>
      </c>
      <c r="D853" s="6" t="s">
        <v>2989</v>
      </c>
      <c r="E853" s="9" t="s">
        <v>2676</v>
      </c>
      <c r="F853" s="10" t="n">
        <v>172749</v>
      </c>
      <c r="G853" s="10" t="n">
        <v>5000000000</v>
      </c>
      <c r="H853" s="14" t="n">
        <v>0.18</v>
      </c>
      <c r="I853" s="9" t="s">
        <v>3155</v>
      </c>
      <c r="J853" s="6"/>
      <c r="K853" s="9" t="s">
        <v>2645</v>
      </c>
      <c r="L853" s="9" t="s">
        <v>1845</v>
      </c>
    </row>
    <row r="854" customFormat="false" ht="15" hidden="false" customHeight="false" outlineLevel="0" collapsed="false">
      <c r="A854" s="6" t="s">
        <v>239</v>
      </c>
      <c r="B854" s="6" t="s">
        <v>3004</v>
      </c>
      <c r="C854" s="6" t="s">
        <v>2594</v>
      </c>
      <c r="D854" s="6" t="s">
        <v>2989</v>
      </c>
      <c r="E854" s="9" t="s">
        <v>2883</v>
      </c>
      <c r="F854" s="10" t="n">
        <v>97657</v>
      </c>
      <c r="G854" s="10" t="n">
        <v>5000000000</v>
      </c>
      <c r="H854" s="14" t="n">
        <v>0.1</v>
      </c>
      <c r="I854" s="9" t="s">
        <v>2727</v>
      </c>
      <c r="J854" s="6"/>
      <c r="K854" s="9" t="s">
        <v>2645</v>
      </c>
      <c r="L854" s="9" t="s">
        <v>1845</v>
      </c>
    </row>
    <row r="855" customFormat="false" ht="15" hidden="false" customHeight="false" outlineLevel="0" collapsed="false">
      <c r="A855" s="6" t="s">
        <v>239</v>
      </c>
      <c r="B855" s="6" t="s">
        <v>3004</v>
      </c>
      <c r="C855" s="6" t="s">
        <v>2594</v>
      </c>
      <c r="D855" s="6" t="s">
        <v>2989</v>
      </c>
      <c r="E855" s="6" t="s">
        <v>2667</v>
      </c>
      <c r="F855" s="10" t="n">
        <v>98092</v>
      </c>
      <c r="G855" s="10" t="n">
        <v>1230000000</v>
      </c>
      <c r="H855" s="14" t="n">
        <v>0.1</v>
      </c>
      <c r="I855" s="9" t="s">
        <v>2982</v>
      </c>
      <c r="J855" s="6"/>
      <c r="K855" s="9" t="s">
        <v>2645</v>
      </c>
      <c r="L855" s="9" t="s">
        <v>1845</v>
      </c>
    </row>
    <row r="856" customFormat="false" ht="15" hidden="false" customHeight="false" outlineLevel="0" collapsed="false">
      <c r="A856" s="6" t="s">
        <v>239</v>
      </c>
      <c r="B856" s="6" t="s">
        <v>3004</v>
      </c>
      <c r="C856" s="6" t="s">
        <v>2594</v>
      </c>
      <c r="D856" s="6" t="s">
        <v>2989</v>
      </c>
      <c r="E856" s="6" t="s">
        <v>2667</v>
      </c>
      <c r="F856" s="10" t="n">
        <v>10604</v>
      </c>
      <c r="G856" s="10" t="n">
        <v>5000000000</v>
      </c>
      <c r="H856" s="14" t="n">
        <v>0.01</v>
      </c>
      <c r="I856" s="9" t="s">
        <v>3158</v>
      </c>
      <c r="J856" s="6"/>
      <c r="K856" s="9" t="s">
        <v>2645</v>
      </c>
      <c r="L856" s="9" t="s">
        <v>1845</v>
      </c>
    </row>
    <row r="857" customFormat="false" ht="15" hidden="false" customHeight="false" outlineLevel="0" collapsed="false">
      <c r="A857" s="6" t="s">
        <v>239</v>
      </c>
      <c r="B857" s="6" t="s">
        <v>3004</v>
      </c>
      <c r="C857" s="6" t="s">
        <v>2594</v>
      </c>
      <c r="D857" s="6" t="s">
        <v>2989</v>
      </c>
      <c r="E857" s="6" t="s">
        <v>2677</v>
      </c>
      <c r="F857" s="10" t="n">
        <v>38139</v>
      </c>
      <c r="G857" s="10"/>
      <c r="H857" s="14" t="n">
        <v>0.04</v>
      </c>
      <c r="I857" s="9" t="s">
        <v>3107</v>
      </c>
      <c r="J857" s="6"/>
      <c r="K857" s="6"/>
      <c r="L857" s="9" t="s">
        <v>1845</v>
      </c>
    </row>
    <row r="858" customFormat="false" ht="15" hidden="false" customHeight="false" outlineLevel="0" collapsed="false">
      <c r="A858" s="6" t="s">
        <v>239</v>
      </c>
      <c r="B858" s="6" t="s">
        <v>228</v>
      </c>
      <c r="C858" s="6" t="s">
        <v>2604</v>
      </c>
      <c r="D858" s="6" t="s">
        <v>2989</v>
      </c>
      <c r="E858" s="6" t="s">
        <v>2628</v>
      </c>
      <c r="F858" s="10" t="n">
        <v>764430</v>
      </c>
      <c r="G858" s="10"/>
      <c r="H858" s="14" t="n">
        <v>0.78</v>
      </c>
      <c r="I858" s="9" t="s">
        <v>3151</v>
      </c>
      <c r="J858" s="6"/>
      <c r="K858" s="6"/>
      <c r="L858" s="9" t="s">
        <v>3159</v>
      </c>
    </row>
    <row r="859" customFormat="false" ht="15" hidden="false" customHeight="false" outlineLevel="0" collapsed="false">
      <c r="A859" s="6" t="s">
        <v>239</v>
      </c>
      <c r="B859" s="6" t="s">
        <v>228</v>
      </c>
      <c r="C859" s="6" t="s">
        <v>2604</v>
      </c>
      <c r="D859" s="6" t="s">
        <v>2989</v>
      </c>
      <c r="E859" s="6" t="s">
        <v>2628</v>
      </c>
      <c r="F859" s="10" t="n">
        <v>1065570</v>
      </c>
      <c r="G859" s="10" t="n">
        <v>20000000000</v>
      </c>
      <c r="H859" s="14" t="n">
        <v>1.09</v>
      </c>
      <c r="I859" s="9" t="s">
        <v>3151</v>
      </c>
      <c r="J859" s="6"/>
      <c r="K859" s="9" t="s">
        <v>2645</v>
      </c>
      <c r="L859" s="9" t="s">
        <v>3159</v>
      </c>
    </row>
    <row r="860" customFormat="false" ht="15" hidden="false" customHeight="false" outlineLevel="0" collapsed="false">
      <c r="A860" s="6" t="s">
        <v>239</v>
      </c>
      <c r="B860" s="6" t="s">
        <v>228</v>
      </c>
      <c r="C860" s="6" t="s">
        <v>2604</v>
      </c>
      <c r="D860" s="6" t="s">
        <v>2989</v>
      </c>
      <c r="E860" s="9" t="s">
        <v>3152</v>
      </c>
      <c r="F860" s="10" t="n">
        <v>950000</v>
      </c>
      <c r="G860" s="10"/>
      <c r="H860" s="14" t="n">
        <v>0.97</v>
      </c>
      <c r="I860" s="9" t="s">
        <v>3153</v>
      </c>
      <c r="J860" s="6"/>
      <c r="K860" s="6"/>
      <c r="L860" s="9" t="s">
        <v>3159</v>
      </c>
    </row>
    <row r="861" customFormat="false" ht="15" hidden="false" customHeight="false" outlineLevel="0" collapsed="false">
      <c r="A861" s="6" t="s">
        <v>239</v>
      </c>
      <c r="B861" s="6" t="s">
        <v>228</v>
      </c>
      <c r="C861" s="6" t="s">
        <v>2604</v>
      </c>
      <c r="D861" s="6" t="s">
        <v>2989</v>
      </c>
      <c r="E861" s="6" t="s">
        <v>3154</v>
      </c>
      <c r="F861" s="10" t="n">
        <v>900176</v>
      </c>
      <c r="G861" s="10" t="n">
        <v>80000000000</v>
      </c>
      <c r="H861" s="14" t="n">
        <v>0.92</v>
      </c>
      <c r="I861" s="9" t="s">
        <v>3155</v>
      </c>
      <c r="J861" s="6"/>
      <c r="K861" s="9" t="s">
        <v>2645</v>
      </c>
      <c r="L861" s="9" t="s">
        <v>3159</v>
      </c>
    </row>
    <row r="862" customFormat="false" ht="15" hidden="false" customHeight="false" outlineLevel="0" collapsed="false">
      <c r="A862" s="6" t="s">
        <v>239</v>
      </c>
      <c r="B862" s="6" t="s">
        <v>228</v>
      </c>
      <c r="C862" s="6" t="s">
        <v>2604</v>
      </c>
      <c r="D862" s="6" t="s">
        <v>2989</v>
      </c>
      <c r="E862" s="6" t="s">
        <v>3154</v>
      </c>
      <c r="F862" s="10" t="n">
        <v>900176</v>
      </c>
      <c r="G862" s="10" t="n">
        <v>100000000000</v>
      </c>
      <c r="H862" s="14" t="n">
        <v>0.92</v>
      </c>
      <c r="I862" s="9" t="s">
        <v>3155</v>
      </c>
      <c r="J862" s="6"/>
      <c r="K862" s="9" t="s">
        <v>2645</v>
      </c>
      <c r="L862" s="9" t="s">
        <v>3159</v>
      </c>
    </row>
    <row r="863" customFormat="false" ht="15" hidden="false" customHeight="false" outlineLevel="0" collapsed="false">
      <c r="A863" s="6" t="s">
        <v>239</v>
      </c>
      <c r="B863" s="6" t="s">
        <v>228</v>
      </c>
      <c r="C863" s="6" t="s">
        <v>2604</v>
      </c>
      <c r="D863" s="6" t="s">
        <v>2989</v>
      </c>
      <c r="E863" s="6" t="s">
        <v>3156</v>
      </c>
      <c r="F863" s="10" t="n">
        <v>2229107</v>
      </c>
      <c r="G863" s="10"/>
      <c r="H863" s="14" t="n">
        <v>2.28</v>
      </c>
      <c r="I863" s="9" t="s">
        <v>2380</v>
      </c>
      <c r="J863" s="6"/>
      <c r="K863" s="6"/>
      <c r="L863" s="9" t="s">
        <v>3159</v>
      </c>
    </row>
    <row r="864" customFormat="false" ht="15" hidden="false" customHeight="false" outlineLevel="0" collapsed="false">
      <c r="A864" s="6" t="s">
        <v>239</v>
      </c>
      <c r="B864" s="6" t="s">
        <v>228</v>
      </c>
      <c r="C864" s="6" t="s">
        <v>2604</v>
      </c>
      <c r="D864" s="6" t="s">
        <v>2989</v>
      </c>
      <c r="E864" s="6" t="s">
        <v>3156</v>
      </c>
      <c r="F864" s="10" t="n">
        <v>2735313</v>
      </c>
      <c r="G864" s="10"/>
      <c r="H864" s="14" t="n">
        <v>2.8</v>
      </c>
      <c r="I864" s="9" t="s">
        <v>2345</v>
      </c>
      <c r="J864" s="6"/>
      <c r="K864" s="6"/>
      <c r="L864" s="9" t="s">
        <v>3159</v>
      </c>
    </row>
    <row r="865" customFormat="false" ht="15" hidden="false" customHeight="false" outlineLevel="0" collapsed="false">
      <c r="A865" s="6" t="s">
        <v>239</v>
      </c>
      <c r="B865" s="6" t="s">
        <v>228</v>
      </c>
      <c r="C865" s="6" t="s">
        <v>2604</v>
      </c>
      <c r="D865" s="6" t="s">
        <v>2989</v>
      </c>
      <c r="E865" s="6" t="s">
        <v>2667</v>
      </c>
      <c r="F865" s="10" t="n">
        <v>347625</v>
      </c>
      <c r="G865" s="10"/>
      <c r="H865" s="14" t="n">
        <v>0.36</v>
      </c>
      <c r="I865" s="9" t="s">
        <v>3091</v>
      </c>
      <c r="J865" s="6"/>
      <c r="K865" s="6"/>
      <c r="L865" s="9" t="s">
        <v>3159</v>
      </c>
    </row>
    <row r="866" customFormat="false" ht="15" hidden="false" customHeight="false" outlineLevel="0" collapsed="false">
      <c r="A866" s="6" t="s">
        <v>239</v>
      </c>
      <c r="B866" s="6" t="s">
        <v>228</v>
      </c>
      <c r="C866" s="6" t="s">
        <v>2604</v>
      </c>
      <c r="D866" s="6" t="s">
        <v>2989</v>
      </c>
      <c r="E866" s="9" t="s">
        <v>2878</v>
      </c>
      <c r="F866" s="10" t="n">
        <v>289687</v>
      </c>
      <c r="G866" s="10"/>
      <c r="H866" s="14" t="n">
        <v>0.3</v>
      </c>
      <c r="I866" s="9" t="s">
        <v>3091</v>
      </c>
      <c r="J866" s="6"/>
      <c r="K866" s="6"/>
      <c r="L866" s="9" t="s">
        <v>3159</v>
      </c>
    </row>
    <row r="867" customFormat="false" ht="15" hidden="false" customHeight="false" outlineLevel="0" collapsed="false">
      <c r="A867" s="6" t="s">
        <v>239</v>
      </c>
      <c r="B867" s="6" t="s">
        <v>228</v>
      </c>
      <c r="C867" s="6" t="s">
        <v>2604</v>
      </c>
      <c r="D867" s="6" t="s">
        <v>2989</v>
      </c>
      <c r="E867" s="6" t="s">
        <v>2854</v>
      </c>
      <c r="F867" s="10" t="n">
        <v>202781</v>
      </c>
      <c r="G867" s="10" t="n">
        <v>20000000000</v>
      </c>
      <c r="H867" s="14" t="n">
        <v>0.21</v>
      </c>
      <c r="I867" s="9" t="s">
        <v>3091</v>
      </c>
      <c r="J867" s="6"/>
      <c r="K867" s="9" t="s">
        <v>2645</v>
      </c>
      <c r="L867" s="9" t="s">
        <v>3159</v>
      </c>
    </row>
    <row r="868" customFormat="false" ht="15" hidden="false" customHeight="false" outlineLevel="0" collapsed="false">
      <c r="A868" s="6" t="s">
        <v>239</v>
      </c>
      <c r="B868" s="6" t="s">
        <v>228</v>
      </c>
      <c r="C868" s="6" t="s">
        <v>2604</v>
      </c>
      <c r="D868" s="6" t="s">
        <v>2989</v>
      </c>
      <c r="E868" s="6" t="s">
        <v>2950</v>
      </c>
      <c r="F868" s="10" t="n">
        <v>144844</v>
      </c>
      <c r="G868" s="10" t="n">
        <v>20000000000</v>
      </c>
      <c r="H868" s="14" t="n">
        <v>0.15</v>
      </c>
      <c r="I868" s="9" t="s">
        <v>3091</v>
      </c>
      <c r="J868" s="6"/>
      <c r="K868" s="9" t="s">
        <v>2645</v>
      </c>
      <c r="L868" s="9" t="s">
        <v>3159</v>
      </c>
    </row>
    <row r="869" customFormat="false" ht="15" hidden="false" customHeight="false" outlineLevel="0" collapsed="false">
      <c r="A869" s="6" t="s">
        <v>239</v>
      </c>
      <c r="B869" s="6" t="s">
        <v>3004</v>
      </c>
      <c r="C869" s="6" t="s">
        <v>2594</v>
      </c>
      <c r="D869" s="6" t="s">
        <v>2989</v>
      </c>
      <c r="E869" s="6" t="s">
        <v>2665</v>
      </c>
      <c r="F869" s="10" t="n">
        <v>266996</v>
      </c>
      <c r="G869" s="10" t="n">
        <v>10000000000</v>
      </c>
      <c r="H869" s="14" t="n">
        <v>0.27</v>
      </c>
      <c r="I869" s="9" t="s">
        <v>3007</v>
      </c>
      <c r="J869" s="6"/>
      <c r="K869" s="9" t="s">
        <v>2645</v>
      </c>
      <c r="L869" s="9" t="s">
        <v>3159</v>
      </c>
    </row>
    <row r="870" customFormat="false" ht="15" hidden="false" customHeight="false" outlineLevel="0" collapsed="false">
      <c r="A870" s="6" t="s">
        <v>239</v>
      </c>
      <c r="B870" s="6" t="s">
        <v>3004</v>
      </c>
      <c r="C870" s="6" t="s">
        <v>2594</v>
      </c>
      <c r="D870" s="6" t="s">
        <v>2989</v>
      </c>
      <c r="E870" s="6" t="s">
        <v>2665</v>
      </c>
      <c r="F870" s="10" t="n">
        <v>266996</v>
      </c>
      <c r="G870" s="10" t="n">
        <v>10000000000</v>
      </c>
      <c r="H870" s="14" t="n">
        <v>0.27</v>
      </c>
      <c r="I870" s="9" t="s">
        <v>3008</v>
      </c>
      <c r="J870" s="6"/>
      <c r="K870" s="9" t="s">
        <v>2645</v>
      </c>
      <c r="L870" s="9" t="s">
        <v>3159</v>
      </c>
    </row>
    <row r="871" customFormat="false" ht="15" hidden="false" customHeight="false" outlineLevel="0" collapsed="false">
      <c r="A871" s="6" t="s">
        <v>239</v>
      </c>
      <c r="B871" s="6" t="s">
        <v>3004</v>
      </c>
      <c r="C871" s="6" t="s">
        <v>2594</v>
      </c>
      <c r="D871" s="6" t="s">
        <v>2989</v>
      </c>
      <c r="E871" s="6" t="s">
        <v>2665</v>
      </c>
      <c r="F871" s="10" t="n">
        <v>133498</v>
      </c>
      <c r="G871" s="10" t="n">
        <v>10000000000</v>
      </c>
      <c r="H871" s="14" t="n">
        <v>0.14</v>
      </c>
      <c r="I871" s="9" t="s">
        <v>3009</v>
      </c>
      <c r="J871" s="6"/>
      <c r="K871" s="9" t="s">
        <v>2645</v>
      </c>
      <c r="L871" s="9" t="s">
        <v>3159</v>
      </c>
    </row>
    <row r="872" customFormat="false" ht="15" hidden="false" customHeight="false" outlineLevel="0" collapsed="false">
      <c r="A872" s="6" t="s">
        <v>239</v>
      </c>
      <c r="B872" s="6" t="s">
        <v>3004</v>
      </c>
      <c r="C872" s="6" t="s">
        <v>2594</v>
      </c>
      <c r="D872" s="6" t="s">
        <v>2989</v>
      </c>
      <c r="E872" s="6" t="s">
        <v>2665</v>
      </c>
      <c r="F872" s="10" t="n">
        <v>133498</v>
      </c>
      <c r="G872" s="10" t="n">
        <v>27500000000</v>
      </c>
      <c r="H872" s="14" t="n">
        <v>0.14</v>
      </c>
      <c r="I872" s="9" t="s">
        <v>2706</v>
      </c>
      <c r="J872" s="6"/>
      <c r="K872" s="9" t="s">
        <v>2645</v>
      </c>
      <c r="L872" s="9" t="s">
        <v>3159</v>
      </c>
    </row>
    <row r="873" customFormat="false" ht="15" hidden="false" customHeight="false" outlineLevel="0" collapsed="false">
      <c r="A873" s="6" t="s">
        <v>239</v>
      </c>
      <c r="B873" s="6" t="s">
        <v>3004</v>
      </c>
      <c r="C873" s="6" t="s">
        <v>2594</v>
      </c>
      <c r="D873" s="6" t="s">
        <v>2989</v>
      </c>
      <c r="E873" s="6" t="s">
        <v>2665</v>
      </c>
      <c r="F873" s="10" t="n">
        <v>133498</v>
      </c>
      <c r="G873" s="10" t="n">
        <v>40000000000</v>
      </c>
      <c r="H873" s="14" t="n">
        <v>0.14</v>
      </c>
      <c r="I873" s="9" t="s">
        <v>3010</v>
      </c>
      <c r="J873" s="6"/>
      <c r="K873" s="9" t="s">
        <v>2645</v>
      </c>
      <c r="L873" s="9" t="s">
        <v>3159</v>
      </c>
    </row>
    <row r="874" customFormat="false" ht="15" hidden="false" customHeight="false" outlineLevel="0" collapsed="false">
      <c r="A874" s="6" t="s">
        <v>239</v>
      </c>
      <c r="B874" s="6" t="s">
        <v>3004</v>
      </c>
      <c r="C874" s="6" t="s">
        <v>2594</v>
      </c>
      <c r="D874" s="6" t="s">
        <v>2989</v>
      </c>
      <c r="E874" s="6" t="s">
        <v>2665</v>
      </c>
      <c r="F874" s="10" t="n">
        <v>367120</v>
      </c>
      <c r="G874" s="10"/>
      <c r="H874" s="14" t="n">
        <v>0.38</v>
      </c>
      <c r="I874" s="9" t="s">
        <v>3011</v>
      </c>
      <c r="J874" s="6"/>
      <c r="K874" s="6"/>
      <c r="L874" s="9" t="s">
        <v>3159</v>
      </c>
    </row>
    <row r="875" customFormat="false" ht="15" hidden="false" customHeight="false" outlineLevel="0" collapsed="false">
      <c r="A875" s="6" t="s">
        <v>239</v>
      </c>
      <c r="B875" s="6" t="s">
        <v>3004</v>
      </c>
      <c r="C875" s="6" t="s">
        <v>2594</v>
      </c>
      <c r="D875" s="6" t="s">
        <v>2989</v>
      </c>
      <c r="E875" s="6" t="s">
        <v>2665</v>
      </c>
      <c r="F875" s="10" t="n">
        <v>533992</v>
      </c>
      <c r="G875" s="10" t="n">
        <v>10000000000</v>
      </c>
      <c r="H875" s="14" t="n">
        <v>0.55</v>
      </c>
      <c r="I875" s="9" t="s">
        <v>3012</v>
      </c>
      <c r="J875" s="6"/>
      <c r="K875" s="9" t="s">
        <v>2645</v>
      </c>
      <c r="L875" s="9" t="s">
        <v>3159</v>
      </c>
    </row>
    <row r="876" customFormat="false" ht="15" hidden="false" customHeight="false" outlineLevel="0" collapsed="false">
      <c r="A876" s="6" t="s">
        <v>239</v>
      </c>
      <c r="B876" s="6" t="s">
        <v>3004</v>
      </c>
      <c r="C876" s="6" t="s">
        <v>2594</v>
      </c>
      <c r="D876" s="6" t="s">
        <v>2989</v>
      </c>
      <c r="E876" s="6" t="s">
        <v>2972</v>
      </c>
      <c r="F876" s="10" t="n">
        <v>169349</v>
      </c>
      <c r="G876" s="10" t="n">
        <v>20000000000</v>
      </c>
      <c r="H876" s="14" t="n">
        <v>0.17</v>
      </c>
      <c r="I876" s="9" t="s">
        <v>3157</v>
      </c>
      <c r="J876" s="6"/>
      <c r="K876" s="9" t="s">
        <v>2645</v>
      </c>
      <c r="L876" s="9" t="s">
        <v>3159</v>
      </c>
    </row>
    <row r="877" customFormat="false" ht="15" hidden="false" customHeight="false" outlineLevel="0" collapsed="false">
      <c r="A877" s="6" t="s">
        <v>239</v>
      </c>
      <c r="B877" s="6" t="s">
        <v>3004</v>
      </c>
      <c r="C877" s="6" t="s">
        <v>2594</v>
      </c>
      <c r="D877" s="6" t="s">
        <v>2989</v>
      </c>
      <c r="E877" s="9" t="s">
        <v>2676</v>
      </c>
      <c r="F877" s="10" t="n">
        <v>172749</v>
      </c>
      <c r="G877" s="10" t="n">
        <v>5000000000</v>
      </c>
      <c r="H877" s="14" t="n">
        <v>0.18</v>
      </c>
      <c r="I877" s="9" t="s">
        <v>3155</v>
      </c>
      <c r="J877" s="6"/>
      <c r="K877" s="9" t="s">
        <v>2645</v>
      </c>
      <c r="L877" s="9" t="s">
        <v>3159</v>
      </c>
    </row>
    <row r="878" customFormat="false" ht="15" hidden="false" customHeight="false" outlineLevel="0" collapsed="false">
      <c r="A878" s="6" t="s">
        <v>239</v>
      </c>
      <c r="B878" s="6" t="s">
        <v>3004</v>
      </c>
      <c r="C878" s="6" t="s">
        <v>2594</v>
      </c>
      <c r="D878" s="6" t="s">
        <v>2989</v>
      </c>
      <c r="E878" s="9" t="s">
        <v>2883</v>
      </c>
      <c r="F878" s="10" t="n">
        <v>97657</v>
      </c>
      <c r="G878" s="10" t="n">
        <v>5000000000</v>
      </c>
      <c r="H878" s="14" t="n">
        <v>0.1</v>
      </c>
      <c r="I878" s="9" t="s">
        <v>2727</v>
      </c>
      <c r="J878" s="6"/>
      <c r="K878" s="9" t="s">
        <v>2645</v>
      </c>
      <c r="L878" s="9" t="s">
        <v>3159</v>
      </c>
    </row>
    <row r="879" customFormat="false" ht="15" hidden="false" customHeight="false" outlineLevel="0" collapsed="false">
      <c r="A879" s="6" t="s">
        <v>239</v>
      </c>
      <c r="B879" s="6" t="s">
        <v>3004</v>
      </c>
      <c r="C879" s="6" t="s">
        <v>2594</v>
      </c>
      <c r="D879" s="6" t="s">
        <v>2989</v>
      </c>
      <c r="E879" s="6" t="s">
        <v>2667</v>
      </c>
      <c r="F879" s="10" t="n">
        <v>98092</v>
      </c>
      <c r="G879" s="10" t="n">
        <v>1230000000</v>
      </c>
      <c r="H879" s="14" t="n">
        <v>0.1</v>
      </c>
      <c r="I879" s="9" t="s">
        <v>2982</v>
      </c>
      <c r="J879" s="6"/>
      <c r="K879" s="9" t="s">
        <v>2645</v>
      </c>
      <c r="L879" s="9" t="s">
        <v>3159</v>
      </c>
    </row>
    <row r="880" customFormat="false" ht="15" hidden="false" customHeight="false" outlineLevel="0" collapsed="false">
      <c r="A880" s="6" t="s">
        <v>239</v>
      </c>
      <c r="B880" s="6" t="s">
        <v>3004</v>
      </c>
      <c r="C880" s="6" t="s">
        <v>2594</v>
      </c>
      <c r="D880" s="6" t="s">
        <v>2989</v>
      </c>
      <c r="E880" s="6" t="s">
        <v>2667</v>
      </c>
      <c r="F880" s="10" t="n">
        <v>10604</v>
      </c>
      <c r="G880" s="10" t="n">
        <v>5000000000</v>
      </c>
      <c r="H880" s="14" t="n">
        <v>0.01</v>
      </c>
      <c r="I880" s="9" t="s">
        <v>3158</v>
      </c>
      <c r="J880" s="6"/>
      <c r="K880" s="9" t="s">
        <v>2645</v>
      </c>
      <c r="L880" s="9" t="s">
        <v>3159</v>
      </c>
    </row>
    <row r="881" customFormat="false" ht="15" hidden="false" customHeight="false" outlineLevel="0" collapsed="false">
      <c r="A881" s="6" t="s">
        <v>239</v>
      </c>
      <c r="B881" s="6" t="s">
        <v>3004</v>
      </c>
      <c r="C881" s="6" t="s">
        <v>2594</v>
      </c>
      <c r="D881" s="6" t="s">
        <v>2989</v>
      </c>
      <c r="E881" s="6" t="s">
        <v>2677</v>
      </c>
      <c r="F881" s="10" t="n">
        <v>38139</v>
      </c>
      <c r="G881" s="10" t="n">
        <v>20000000000</v>
      </c>
      <c r="H881" s="14" t="n">
        <v>0.04</v>
      </c>
      <c r="I881" s="9" t="s">
        <v>3107</v>
      </c>
      <c r="J881" s="6"/>
      <c r="K881" s="9" t="s">
        <v>2645</v>
      </c>
      <c r="L881" s="9" t="s">
        <v>3159</v>
      </c>
    </row>
    <row r="882" customFormat="false" ht="15" hidden="false" customHeight="false" outlineLevel="0" collapsed="false">
      <c r="A882" s="6" t="s">
        <v>239</v>
      </c>
      <c r="B882" s="6" t="s">
        <v>3004</v>
      </c>
      <c r="C882" s="6" t="s">
        <v>2594</v>
      </c>
      <c r="D882" s="6" t="s">
        <v>2989</v>
      </c>
      <c r="E882" s="9" t="s">
        <v>2883</v>
      </c>
      <c r="F882" s="10" t="n">
        <v>386474</v>
      </c>
      <c r="G882" s="10"/>
      <c r="H882" s="14" t="n">
        <v>0.4</v>
      </c>
      <c r="I882" s="9" t="s">
        <v>2403</v>
      </c>
      <c r="J882" s="6"/>
      <c r="K882" s="6"/>
      <c r="L882" s="9" t="s">
        <v>3159</v>
      </c>
    </row>
    <row r="883" customFormat="false" ht="15" hidden="false" customHeight="false" outlineLevel="0" collapsed="false">
      <c r="A883" s="6" t="s">
        <v>384</v>
      </c>
      <c r="B883" s="6" t="s">
        <v>3160</v>
      </c>
      <c r="C883" s="6" t="s">
        <v>2604</v>
      </c>
      <c r="D883" s="6" t="s">
        <v>2589</v>
      </c>
      <c r="E883" s="6" t="s">
        <v>2665</v>
      </c>
      <c r="F883" s="10" t="n">
        <v>1900000</v>
      </c>
      <c r="G883" s="10" t="n">
        <v>17000000000</v>
      </c>
      <c r="H883" s="14" t="n">
        <v>7.65</v>
      </c>
      <c r="I883" s="9" t="s">
        <v>3161</v>
      </c>
      <c r="J883" s="9" t="s">
        <v>3162</v>
      </c>
      <c r="K883" s="6" t="s">
        <v>3160</v>
      </c>
      <c r="L883" s="9" t="s">
        <v>1994</v>
      </c>
    </row>
    <row r="884" customFormat="false" ht="15" hidden="false" customHeight="false" outlineLevel="0" collapsed="false">
      <c r="A884" s="6" t="s">
        <v>384</v>
      </c>
      <c r="B884" s="6" t="s">
        <v>3160</v>
      </c>
      <c r="C884" s="6" t="s">
        <v>2604</v>
      </c>
      <c r="D884" s="6" t="s">
        <v>2589</v>
      </c>
      <c r="E884" s="6" t="s">
        <v>2750</v>
      </c>
      <c r="F884" s="10" t="n">
        <v>52577</v>
      </c>
      <c r="G884" s="10" t="n">
        <v>1000000000</v>
      </c>
      <c r="H884" s="14" t="n">
        <v>0.21</v>
      </c>
      <c r="I884" s="9" t="s">
        <v>2849</v>
      </c>
      <c r="J884" s="9" t="s">
        <v>2921</v>
      </c>
      <c r="K884" s="6" t="s">
        <v>3160</v>
      </c>
      <c r="L884" s="9" t="s">
        <v>1994</v>
      </c>
    </row>
    <row r="885" customFormat="false" ht="15" hidden="false" customHeight="false" outlineLevel="0" collapsed="false">
      <c r="A885" s="6" t="s">
        <v>384</v>
      </c>
      <c r="B885" s="6" t="s">
        <v>3160</v>
      </c>
      <c r="C885" s="6" t="s">
        <v>2604</v>
      </c>
      <c r="D885" s="6" t="s">
        <v>2589</v>
      </c>
      <c r="E885" s="6" t="s">
        <v>2750</v>
      </c>
      <c r="F885" s="10" t="n">
        <v>77701</v>
      </c>
      <c r="G885" s="10" t="n">
        <v>1000000000</v>
      </c>
      <c r="H885" s="14" t="n">
        <v>0.31</v>
      </c>
      <c r="I885" s="9" t="s">
        <v>2849</v>
      </c>
      <c r="J885" s="9" t="s">
        <v>2921</v>
      </c>
      <c r="K885" s="6" t="s">
        <v>3160</v>
      </c>
      <c r="L885" s="9" t="s">
        <v>1994</v>
      </c>
    </row>
    <row r="886" customFormat="false" ht="15" hidden="false" customHeight="false" outlineLevel="0" collapsed="false">
      <c r="A886" s="6" t="s">
        <v>384</v>
      </c>
      <c r="B886" s="6" t="s">
        <v>3160</v>
      </c>
      <c r="C886" s="6" t="s">
        <v>2604</v>
      </c>
      <c r="D886" s="6" t="s">
        <v>2589</v>
      </c>
      <c r="E886" s="6" t="s">
        <v>2750</v>
      </c>
      <c r="F886" s="10" t="n">
        <v>928075</v>
      </c>
      <c r="G886" s="10" t="n">
        <v>8000000000</v>
      </c>
      <c r="H886" s="14" t="n">
        <v>3.74</v>
      </c>
      <c r="I886" s="9" t="s">
        <v>2849</v>
      </c>
      <c r="J886" s="9" t="s">
        <v>2921</v>
      </c>
      <c r="K886" s="6" t="s">
        <v>3160</v>
      </c>
      <c r="L886" s="9" t="s">
        <v>1994</v>
      </c>
    </row>
    <row r="887" customFormat="false" ht="15" hidden="false" customHeight="false" outlineLevel="0" collapsed="false">
      <c r="A887" s="6" t="s">
        <v>384</v>
      </c>
      <c r="B887" s="6" t="s">
        <v>3160</v>
      </c>
      <c r="C887" s="6" t="s">
        <v>2604</v>
      </c>
      <c r="D887" s="6" t="s">
        <v>2589</v>
      </c>
      <c r="E887" s="6" t="s">
        <v>2665</v>
      </c>
      <c r="F887" s="10" t="n">
        <v>1900000</v>
      </c>
      <c r="G887" s="10" t="n">
        <v>17000000000</v>
      </c>
      <c r="H887" s="14" t="n">
        <v>7.04</v>
      </c>
      <c r="I887" s="9" t="s">
        <v>3161</v>
      </c>
      <c r="J887" s="9" t="s">
        <v>3162</v>
      </c>
      <c r="K887" s="6" t="s">
        <v>3160</v>
      </c>
      <c r="L887" s="9" t="s">
        <v>3163</v>
      </c>
    </row>
    <row r="888" customFormat="false" ht="15" hidden="false" customHeight="false" outlineLevel="0" collapsed="false">
      <c r="A888" s="6" t="s">
        <v>384</v>
      </c>
      <c r="B888" s="6" t="s">
        <v>3160</v>
      </c>
      <c r="C888" s="6" t="s">
        <v>2604</v>
      </c>
      <c r="D888" s="6" t="s">
        <v>2589</v>
      </c>
      <c r="E888" s="6" t="s">
        <v>2750</v>
      </c>
      <c r="F888" s="10" t="n">
        <v>52577</v>
      </c>
      <c r="G888" s="10" t="n">
        <v>1000000000</v>
      </c>
      <c r="H888" s="14" t="n">
        <v>0.19</v>
      </c>
      <c r="I888" s="9" t="s">
        <v>2921</v>
      </c>
      <c r="J888" s="9" t="s">
        <v>1992</v>
      </c>
      <c r="K888" s="6" t="s">
        <v>3160</v>
      </c>
      <c r="L888" s="9" t="s">
        <v>3163</v>
      </c>
    </row>
    <row r="889" customFormat="false" ht="15" hidden="false" customHeight="false" outlineLevel="0" collapsed="false">
      <c r="A889" s="6" t="s">
        <v>384</v>
      </c>
      <c r="B889" s="6" t="s">
        <v>3160</v>
      </c>
      <c r="C889" s="6" t="s">
        <v>2604</v>
      </c>
      <c r="D889" s="6" t="s">
        <v>2589</v>
      </c>
      <c r="E889" s="6" t="s">
        <v>2750</v>
      </c>
      <c r="F889" s="10" t="n">
        <v>77701</v>
      </c>
      <c r="G889" s="10" t="n">
        <v>1000000000</v>
      </c>
      <c r="H889" s="14" t="n">
        <v>0.29</v>
      </c>
      <c r="I889" s="9" t="s">
        <v>2921</v>
      </c>
      <c r="J889" s="9" t="s">
        <v>1992</v>
      </c>
      <c r="K889" s="6" t="s">
        <v>3160</v>
      </c>
      <c r="L889" s="9" t="s">
        <v>3163</v>
      </c>
    </row>
    <row r="890" customFormat="false" ht="15" hidden="false" customHeight="false" outlineLevel="0" collapsed="false">
      <c r="A890" s="6" t="s">
        <v>384</v>
      </c>
      <c r="B890" s="6" t="s">
        <v>3160</v>
      </c>
      <c r="C890" s="6" t="s">
        <v>2604</v>
      </c>
      <c r="D890" s="6" t="s">
        <v>2589</v>
      </c>
      <c r="E890" s="6" t="s">
        <v>2750</v>
      </c>
      <c r="F890" s="10" t="n">
        <v>928075</v>
      </c>
      <c r="G890" s="10" t="n">
        <v>8000000000</v>
      </c>
      <c r="H890" s="14" t="n">
        <v>3.44</v>
      </c>
      <c r="I890" s="9" t="s">
        <v>2921</v>
      </c>
      <c r="J890" s="9" t="s">
        <v>1992</v>
      </c>
      <c r="K890" s="6" t="s">
        <v>3160</v>
      </c>
      <c r="L890" s="9" t="s">
        <v>3163</v>
      </c>
    </row>
    <row r="891" customFormat="false" ht="15" hidden="false" customHeight="false" outlineLevel="0" collapsed="false">
      <c r="A891" s="6" t="s">
        <v>250</v>
      </c>
      <c r="B891" s="6" t="s">
        <v>3164</v>
      </c>
      <c r="C891" s="6" t="s">
        <v>2604</v>
      </c>
      <c r="D891" s="6" t="s">
        <v>2589</v>
      </c>
      <c r="E891" s="9" t="s">
        <v>2910</v>
      </c>
      <c r="F891" s="10" t="n">
        <v>640000</v>
      </c>
      <c r="G891" s="10"/>
      <c r="H891" s="14" t="n">
        <v>1.48</v>
      </c>
      <c r="I891" s="9" t="s">
        <v>3017</v>
      </c>
      <c r="J891" s="9" t="s">
        <v>1915</v>
      </c>
      <c r="K891" s="6"/>
      <c r="L891" s="9" t="s">
        <v>1916</v>
      </c>
    </row>
    <row r="892" customFormat="false" ht="15" hidden="false" customHeight="false" outlineLevel="0" collapsed="false">
      <c r="A892" s="6" t="s">
        <v>250</v>
      </c>
      <c r="B892" s="6" t="s">
        <v>3164</v>
      </c>
      <c r="C892" s="6" t="s">
        <v>2604</v>
      </c>
      <c r="D892" s="6" t="s">
        <v>2589</v>
      </c>
      <c r="E892" s="9" t="s">
        <v>2910</v>
      </c>
      <c r="F892" s="10" t="n">
        <v>640000</v>
      </c>
      <c r="G892" s="10"/>
      <c r="H892" s="14" t="n">
        <v>1.48</v>
      </c>
      <c r="I892" s="9" t="s">
        <v>2192</v>
      </c>
      <c r="J892" s="9" t="s">
        <v>3165</v>
      </c>
      <c r="K892" s="6"/>
      <c r="L892" s="9" t="s">
        <v>3166</v>
      </c>
    </row>
    <row r="893" customFormat="false" ht="15" hidden="false" customHeight="false" outlineLevel="0" collapsed="false">
      <c r="A893" s="6" t="s">
        <v>322</v>
      </c>
      <c r="B893" s="6" t="s">
        <v>3167</v>
      </c>
      <c r="C893" s="6" t="s">
        <v>2604</v>
      </c>
      <c r="D893" s="6" t="s">
        <v>22</v>
      </c>
      <c r="E893" s="6" t="s">
        <v>3156</v>
      </c>
      <c r="F893" s="10" t="n">
        <v>838927</v>
      </c>
      <c r="G893" s="10" t="n">
        <v>20000000000</v>
      </c>
      <c r="H893" s="14" t="n">
        <v>4.45</v>
      </c>
      <c r="I893" s="9" t="s">
        <v>2389</v>
      </c>
      <c r="J893" s="9" t="s">
        <v>1955</v>
      </c>
      <c r="K893" s="6" t="s">
        <v>3167</v>
      </c>
      <c r="L893" s="9" t="s">
        <v>1957</v>
      </c>
    </row>
    <row r="894" customFormat="false" ht="15" hidden="false" customHeight="false" outlineLevel="0" collapsed="false">
      <c r="A894" s="6" t="s">
        <v>322</v>
      </c>
      <c r="B894" s="6" t="s">
        <v>3167</v>
      </c>
      <c r="C894" s="6" t="s">
        <v>2604</v>
      </c>
      <c r="D894" s="6" t="s">
        <v>22</v>
      </c>
      <c r="E894" s="6" t="s">
        <v>254</v>
      </c>
      <c r="F894" s="10" t="n">
        <v>704226</v>
      </c>
      <c r="G894" s="10" t="n">
        <v>20000000000</v>
      </c>
      <c r="H894" s="14" t="n">
        <v>3.74</v>
      </c>
      <c r="I894" s="9" t="s">
        <v>3168</v>
      </c>
      <c r="J894" s="9" t="s">
        <v>3169</v>
      </c>
      <c r="K894" s="6" t="s">
        <v>3167</v>
      </c>
      <c r="L894" s="9" t="s">
        <v>1957</v>
      </c>
    </row>
    <row r="895" customFormat="false" ht="15" hidden="false" customHeight="false" outlineLevel="0" collapsed="false">
      <c r="A895" s="6" t="s">
        <v>322</v>
      </c>
      <c r="B895" s="6" t="s">
        <v>3167</v>
      </c>
      <c r="C895" s="6" t="s">
        <v>2604</v>
      </c>
      <c r="D895" s="6" t="s">
        <v>22</v>
      </c>
      <c r="E895" s="6" t="s">
        <v>2854</v>
      </c>
      <c r="F895" s="10" t="n">
        <v>150000</v>
      </c>
      <c r="G895" s="10" t="n">
        <v>5000000000</v>
      </c>
      <c r="H895" s="14" t="n">
        <v>0.8</v>
      </c>
      <c r="I895" s="9" t="s">
        <v>2188</v>
      </c>
      <c r="J895" s="9" t="s">
        <v>2606</v>
      </c>
      <c r="K895" s="6" t="s">
        <v>3167</v>
      </c>
      <c r="L895" s="9" t="s">
        <v>1957</v>
      </c>
    </row>
    <row r="896" customFormat="false" ht="15" hidden="false" customHeight="false" outlineLevel="0" collapsed="false">
      <c r="A896" s="6" t="s">
        <v>322</v>
      </c>
      <c r="B896" s="6" t="s">
        <v>3167</v>
      </c>
      <c r="C896" s="6" t="s">
        <v>2604</v>
      </c>
      <c r="D896" s="6" t="s">
        <v>3170</v>
      </c>
      <c r="E896" s="6" t="s">
        <v>2854</v>
      </c>
      <c r="F896" s="10" t="n">
        <v>406802</v>
      </c>
      <c r="G896" s="10"/>
      <c r="H896" s="14" t="n">
        <v>2.16</v>
      </c>
      <c r="I896" s="9" t="s">
        <v>2158</v>
      </c>
      <c r="J896" s="9" t="s">
        <v>3171</v>
      </c>
      <c r="K896" s="6"/>
      <c r="L896" s="9" t="s">
        <v>1957</v>
      </c>
    </row>
    <row r="897" customFormat="false" ht="15" hidden="false" customHeight="false" outlineLevel="0" collapsed="false">
      <c r="A897" s="6" t="s">
        <v>322</v>
      </c>
      <c r="B897" s="6" t="s">
        <v>3167</v>
      </c>
      <c r="C897" s="6" t="s">
        <v>2604</v>
      </c>
      <c r="D897" s="6" t="s">
        <v>22</v>
      </c>
      <c r="E897" s="6" t="s">
        <v>3156</v>
      </c>
      <c r="F897" s="10" t="n">
        <v>838927</v>
      </c>
      <c r="G897" s="10" t="n">
        <v>20000000000</v>
      </c>
      <c r="H897" s="14" t="n">
        <v>4.45</v>
      </c>
      <c r="I897" s="9" t="s">
        <v>2389</v>
      </c>
      <c r="J897" s="9" t="s">
        <v>1955</v>
      </c>
      <c r="K897" s="6" t="s">
        <v>3167</v>
      </c>
      <c r="L897" s="9" t="s">
        <v>3172</v>
      </c>
    </row>
    <row r="898" customFormat="false" ht="15" hidden="false" customHeight="false" outlineLevel="0" collapsed="false">
      <c r="A898" s="6" t="s">
        <v>322</v>
      </c>
      <c r="B898" s="6" t="s">
        <v>3167</v>
      </c>
      <c r="C898" s="6" t="s">
        <v>2604</v>
      </c>
      <c r="D898" s="6" t="s">
        <v>22</v>
      </c>
      <c r="E898" s="6" t="s">
        <v>254</v>
      </c>
      <c r="F898" s="10" t="n">
        <v>704226</v>
      </c>
      <c r="G898" s="10" t="n">
        <v>20000000000</v>
      </c>
      <c r="H898" s="14" t="n">
        <v>3.74</v>
      </c>
      <c r="I898" s="9" t="s">
        <v>3168</v>
      </c>
      <c r="J898" s="9" t="s">
        <v>3169</v>
      </c>
      <c r="K898" s="6" t="s">
        <v>3167</v>
      </c>
      <c r="L898" s="9" t="s">
        <v>3172</v>
      </c>
    </row>
    <row r="899" customFormat="false" ht="15" hidden="false" customHeight="false" outlineLevel="0" collapsed="false">
      <c r="A899" s="6" t="s">
        <v>322</v>
      </c>
      <c r="B899" s="6" t="s">
        <v>3167</v>
      </c>
      <c r="C899" s="6" t="s">
        <v>2604</v>
      </c>
      <c r="D899" s="6" t="s">
        <v>22</v>
      </c>
      <c r="E899" s="6" t="s">
        <v>2854</v>
      </c>
      <c r="F899" s="10" t="n">
        <v>150000</v>
      </c>
      <c r="G899" s="10" t="n">
        <v>5000000000</v>
      </c>
      <c r="H899" s="14" t="n">
        <v>0.8</v>
      </c>
      <c r="I899" s="9" t="s">
        <v>2188</v>
      </c>
      <c r="J899" s="9" t="s">
        <v>2606</v>
      </c>
      <c r="K899" s="6" t="s">
        <v>3167</v>
      </c>
      <c r="L899" s="9" t="s">
        <v>3172</v>
      </c>
    </row>
    <row r="900" customFormat="false" ht="15" hidden="false" customHeight="false" outlineLevel="0" collapsed="false">
      <c r="A900" s="6" t="s">
        <v>322</v>
      </c>
      <c r="B900" s="6" t="s">
        <v>3167</v>
      </c>
      <c r="C900" s="6" t="s">
        <v>2604</v>
      </c>
      <c r="D900" s="6" t="s">
        <v>3170</v>
      </c>
      <c r="E900" s="6" t="s">
        <v>2854</v>
      </c>
      <c r="F900" s="10" t="n">
        <v>406802</v>
      </c>
      <c r="G900" s="10"/>
      <c r="H900" s="14" t="n">
        <v>2.16</v>
      </c>
      <c r="I900" s="9" t="s">
        <v>2158</v>
      </c>
      <c r="J900" s="9" t="s">
        <v>3171</v>
      </c>
      <c r="K900" s="6"/>
      <c r="L900" s="9" t="s">
        <v>3172</v>
      </c>
    </row>
    <row r="901" customFormat="false" ht="15" hidden="false" customHeight="false" outlineLevel="0" collapsed="false">
      <c r="A901" s="6" t="s">
        <v>308</v>
      </c>
      <c r="B901" s="6" t="s">
        <v>3173</v>
      </c>
      <c r="C901" s="6" t="s">
        <v>2594</v>
      </c>
      <c r="D901" s="6" t="s">
        <v>22</v>
      </c>
      <c r="E901" s="6" t="s">
        <v>2665</v>
      </c>
      <c r="F901" s="10" t="n">
        <v>70200</v>
      </c>
      <c r="G901" s="10" t="n">
        <v>8000000000</v>
      </c>
      <c r="H901" s="14" t="n">
        <v>0.56</v>
      </c>
      <c r="I901" s="9" t="s">
        <v>3174</v>
      </c>
      <c r="J901" s="6"/>
      <c r="K901" s="6" t="s">
        <v>2665</v>
      </c>
      <c r="L901" s="9" t="s">
        <v>2018</v>
      </c>
    </row>
    <row r="902" customFormat="false" ht="15" hidden="false" customHeight="false" outlineLevel="0" collapsed="false">
      <c r="A902" s="6" t="s">
        <v>308</v>
      </c>
      <c r="B902" s="6" t="s">
        <v>3175</v>
      </c>
      <c r="C902" s="6" t="s">
        <v>2594</v>
      </c>
      <c r="D902" s="6" t="s">
        <v>22</v>
      </c>
      <c r="E902" s="9" t="s">
        <v>3176</v>
      </c>
      <c r="F902" s="10" t="n">
        <v>4706</v>
      </c>
      <c r="G902" s="10" t="n">
        <v>700000000</v>
      </c>
      <c r="H902" s="14" t="n">
        <v>0.04</v>
      </c>
      <c r="I902" s="9" t="s">
        <v>2433</v>
      </c>
      <c r="J902" s="6"/>
      <c r="K902" s="9" t="s">
        <v>3176</v>
      </c>
      <c r="L902" s="9" t="s">
        <v>2018</v>
      </c>
    </row>
  </sheetData>
  <autoFilter ref="A4:L9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3" min="2" style="0" width="21.7"/>
    <col collapsed="false" customWidth="true" hidden="false" outlineLevel="0" max="5" min="4" style="0" width="11.68"/>
    <col collapsed="false" customWidth="true" hidden="false" outlineLevel="0" max="6" min="6" style="0" width="10.02"/>
    <col collapsed="false" customWidth="true" hidden="false" outlineLevel="0" max="9" min="7" style="0" width="15.02"/>
    <col collapsed="false" customWidth="true" hidden="false" outlineLevel="0" max="10" min="10" style="0" width="38.39"/>
    <col collapsed="false" customWidth="true" hidden="false" outlineLevel="0" max="11" min="11" style="0" width="13.35"/>
  </cols>
  <sheetData>
    <row r="1" customFormat="false" ht="17.35" hidden="false" customHeight="false" outlineLevel="0" collapsed="false">
      <c r="A1" s="1" t="s">
        <v>3177</v>
      </c>
    </row>
    <row r="2" customFormat="false" ht="15" hidden="false" customHeight="false" outlineLevel="0" collapsed="false">
      <c r="A2" s="2" t="s">
        <v>3178</v>
      </c>
    </row>
    <row r="4" customFormat="false" ht="30" hidden="false" customHeight="true" outlineLevel="0" collapsed="false">
      <c r="A4" s="5" t="s">
        <v>38</v>
      </c>
      <c r="B4" s="5" t="s">
        <v>3179</v>
      </c>
      <c r="C4" s="5" t="s">
        <v>3180</v>
      </c>
      <c r="D4" s="5" t="s">
        <v>3181</v>
      </c>
      <c r="E4" s="5" t="s">
        <v>3182</v>
      </c>
      <c r="F4" s="5" t="s">
        <v>3183</v>
      </c>
      <c r="G4" s="5" t="s">
        <v>3184</v>
      </c>
      <c r="H4" s="5" t="s">
        <v>3185</v>
      </c>
      <c r="I4" s="5" t="s">
        <v>3186</v>
      </c>
      <c r="J4" s="5" t="s">
        <v>3187</v>
      </c>
      <c r="K4" s="5" t="s">
        <v>437</v>
      </c>
    </row>
    <row r="5" customFormat="false" ht="15" hidden="false" customHeight="false" outlineLevel="0" collapsed="false">
      <c r="A5" s="6" t="s">
        <v>142</v>
      </c>
      <c r="B5" s="6" t="s">
        <v>3188</v>
      </c>
      <c r="C5" s="6" t="s">
        <v>3189</v>
      </c>
      <c r="D5" s="14" t="n">
        <v>50.98</v>
      </c>
      <c r="E5" s="14" t="n">
        <v>50.98</v>
      </c>
      <c r="F5" s="9" t="s">
        <v>2188</v>
      </c>
      <c r="G5" s="10"/>
      <c r="H5" s="10"/>
      <c r="I5" s="10"/>
      <c r="J5" s="6" t="s">
        <v>3190</v>
      </c>
      <c r="K5" s="9" t="s">
        <v>3191</v>
      </c>
    </row>
    <row r="6" customFormat="false" ht="15" hidden="false" customHeight="false" outlineLevel="0" collapsed="false">
      <c r="A6" s="6" t="s">
        <v>121</v>
      </c>
      <c r="B6" s="6" t="s">
        <v>3192</v>
      </c>
      <c r="C6" s="6" t="s">
        <v>3193</v>
      </c>
      <c r="D6" s="14" t="n">
        <v>42.94</v>
      </c>
      <c r="E6" s="14" t="n">
        <v>42.94</v>
      </c>
      <c r="F6" s="9" t="s">
        <v>2175</v>
      </c>
      <c r="G6" s="10"/>
      <c r="H6" s="10"/>
      <c r="I6" s="10"/>
      <c r="J6" s="6" t="s">
        <v>3194</v>
      </c>
      <c r="K6" s="9" t="s">
        <v>3195</v>
      </c>
    </row>
    <row r="7" customFormat="false" ht="15" hidden="false" customHeight="false" outlineLevel="0" collapsed="false">
      <c r="A7" s="6" t="s">
        <v>110</v>
      </c>
      <c r="B7" s="6" t="s">
        <v>3196</v>
      </c>
      <c r="C7" s="6" t="s">
        <v>3197</v>
      </c>
      <c r="D7" s="14" t="n">
        <v>42.17</v>
      </c>
      <c r="E7" s="14" t="n">
        <v>42.17</v>
      </c>
      <c r="F7" s="9" t="s">
        <v>2153</v>
      </c>
      <c r="G7" s="10"/>
      <c r="H7" s="10"/>
      <c r="I7" s="10"/>
      <c r="J7" s="6" t="s">
        <v>3198</v>
      </c>
      <c r="K7" s="9" t="s">
        <v>3199</v>
      </c>
    </row>
    <row r="8" customFormat="false" ht="15" hidden="false" customHeight="false" outlineLevel="0" collapsed="false">
      <c r="A8" s="6" t="s">
        <v>146</v>
      </c>
      <c r="B8" s="6" t="s">
        <v>3200</v>
      </c>
      <c r="C8" s="6"/>
      <c r="D8" s="14" t="n">
        <v>41.44</v>
      </c>
      <c r="E8" s="14"/>
      <c r="F8" s="9" t="s">
        <v>2192</v>
      </c>
      <c r="G8" s="10"/>
      <c r="H8" s="10"/>
      <c r="I8" s="10"/>
      <c r="J8" s="6" t="s">
        <v>3201</v>
      </c>
      <c r="K8" s="9" t="s">
        <v>3202</v>
      </c>
    </row>
    <row r="9" customFormat="false" ht="55.2" hidden="false" customHeight="false" outlineLevel="0" collapsed="false">
      <c r="A9" s="6" t="s">
        <v>125</v>
      </c>
      <c r="B9" s="6" t="s">
        <v>3203</v>
      </c>
      <c r="C9" s="6" t="s">
        <v>3204</v>
      </c>
      <c r="D9" s="14" t="n">
        <v>34.21</v>
      </c>
      <c r="E9" s="14" t="n">
        <v>34.21</v>
      </c>
      <c r="F9" s="9" t="s">
        <v>2179</v>
      </c>
      <c r="G9" s="10"/>
      <c r="H9" s="10"/>
      <c r="I9" s="10"/>
      <c r="J9" s="11" t="s">
        <v>3205</v>
      </c>
      <c r="K9" s="9" t="s">
        <v>3206</v>
      </c>
    </row>
    <row r="10" customFormat="false" ht="41" hidden="false" customHeight="false" outlineLevel="0" collapsed="false">
      <c r="A10" s="6" t="s">
        <v>77</v>
      </c>
      <c r="B10" s="6" t="s">
        <v>3207</v>
      </c>
      <c r="C10" s="12" t="s">
        <v>3208</v>
      </c>
      <c r="D10" s="14" t="n">
        <v>18.42</v>
      </c>
      <c r="E10" s="14" t="n">
        <v>24.97</v>
      </c>
      <c r="F10" s="9" t="s">
        <v>2143</v>
      </c>
      <c r="G10" s="10"/>
      <c r="H10" s="10"/>
      <c r="I10" s="10"/>
      <c r="J10" s="11" t="s">
        <v>3209</v>
      </c>
      <c r="K10" s="9" t="s">
        <v>3210</v>
      </c>
    </row>
    <row r="11" customFormat="false" ht="15" hidden="false" customHeight="false" outlineLevel="0" collapsed="false">
      <c r="A11" s="6" t="s">
        <v>117</v>
      </c>
      <c r="B11" s="9" t="s">
        <v>3211</v>
      </c>
      <c r="C11" s="6" t="s">
        <v>3212</v>
      </c>
      <c r="D11" s="14" t="n">
        <v>48.61</v>
      </c>
      <c r="E11" s="14" t="n">
        <v>63.23</v>
      </c>
      <c r="F11" s="9" t="s">
        <v>2148</v>
      </c>
      <c r="G11" s="10"/>
      <c r="H11" s="10"/>
      <c r="I11" s="10"/>
      <c r="J11" s="6" t="s">
        <v>3213</v>
      </c>
      <c r="K11" s="9" t="s">
        <v>3214</v>
      </c>
    </row>
    <row r="12" customFormat="false" ht="15" hidden="false" customHeight="false" outlineLevel="0" collapsed="false">
      <c r="A12" s="6" t="s">
        <v>101</v>
      </c>
      <c r="B12" s="6" t="s">
        <v>3215</v>
      </c>
      <c r="C12" s="6" t="s">
        <v>3216</v>
      </c>
      <c r="D12" s="14" t="n">
        <v>25.14</v>
      </c>
      <c r="E12" s="14" t="n">
        <v>25.14</v>
      </c>
      <c r="F12" s="9" t="s">
        <v>2168</v>
      </c>
      <c r="G12" s="10"/>
      <c r="H12" s="10"/>
      <c r="I12" s="10"/>
      <c r="J12" s="6" t="s">
        <v>3217</v>
      </c>
      <c r="K12" s="9" t="s">
        <v>3218</v>
      </c>
    </row>
    <row r="13" customFormat="false" ht="15" hidden="false" customHeight="false" outlineLevel="0" collapsed="false">
      <c r="A13" s="6" t="s">
        <v>164</v>
      </c>
      <c r="B13" s="9" t="s">
        <v>3219</v>
      </c>
      <c r="C13" s="9" t="s">
        <v>3220</v>
      </c>
      <c r="D13" s="14" t="n">
        <v>34.86</v>
      </c>
      <c r="E13" s="14" t="n">
        <v>32.7</v>
      </c>
      <c r="F13" s="9" t="s">
        <v>2211</v>
      </c>
      <c r="G13" s="10" t="n">
        <v>8000000030</v>
      </c>
      <c r="H13" s="10" t="n">
        <v>8000000030</v>
      </c>
      <c r="I13" s="10"/>
      <c r="J13" s="6" t="s">
        <v>3221</v>
      </c>
      <c r="K13" s="9" t="s">
        <v>3222</v>
      </c>
    </row>
    <row r="14" customFormat="false" ht="15" hidden="false" customHeight="false" outlineLevel="0" collapsed="false">
      <c r="A14" s="9" t="s">
        <v>106</v>
      </c>
      <c r="B14" s="6" t="s">
        <v>3223</v>
      </c>
      <c r="C14" s="6" t="s">
        <v>3224</v>
      </c>
      <c r="D14" s="14" t="n">
        <v>27.39</v>
      </c>
      <c r="E14" s="14" t="n">
        <v>27.39</v>
      </c>
      <c r="F14" s="9" t="s">
        <v>2158</v>
      </c>
      <c r="G14" s="10"/>
      <c r="H14" s="10"/>
      <c r="I14" s="10"/>
      <c r="J14" s="6" t="s">
        <v>3225</v>
      </c>
      <c r="K14" s="9" t="s">
        <v>3226</v>
      </c>
    </row>
    <row r="15" customFormat="false" ht="41" hidden="false" customHeight="false" outlineLevel="0" collapsed="false">
      <c r="A15" s="6" t="s">
        <v>138</v>
      </c>
      <c r="B15" s="9" t="s">
        <v>3227</v>
      </c>
      <c r="C15" s="9" t="s">
        <v>3228</v>
      </c>
      <c r="D15" s="14" t="n">
        <v>20.62</v>
      </c>
      <c r="E15" s="14" t="n">
        <v>20.62</v>
      </c>
      <c r="F15" s="9" t="s">
        <v>2207</v>
      </c>
      <c r="G15" s="10"/>
      <c r="H15" s="10"/>
      <c r="I15" s="10"/>
      <c r="J15" s="12" t="s">
        <v>3229</v>
      </c>
      <c r="K15" s="9" t="s">
        <v>3230</v>
      </c>
    </row>
    <row r="16" customFormat="false" ht="28.35" hidden="false" customHeight="false" outlineLevel="0" collapsed="false">
      <c r="A16" s="9" t="s">
        <v>81</v>
      </c>
      <c r="B16" s="9" t="s">
        <v>3231</v>
      </c>
      <c r="C16" s="6" t="s">
        <v>3232</v>
      </c>
      <c r="D16" s="14" t="n">
        <v>60.15</v>
      </c>
      <c r="E16" s="14" t="n">
        <v>60.12</v>
      </c>
      <c r="F16" s="9" t="s">
        <v>2109</v>
      </c>
      <c r="G16" s="10"/>
      <c r="H16" s="10"/>
      <c r="I16" s="10"/>
      <c r="J16" s="11" t="s">
        <v>3233</v>
      </c>
      <c r="K16" s="9" t="s">
        <v>3234</v>
      </c>
    </row>
    <row r="17" customFormat="false" ht="15" hidden="false" customHeight="false" outlineLevel="0" collapsed="false">
      <c r="A17" s="6" t="s">
        <v>57</v>
      </c>
      <c r="B17" s="6" t="s">
        <v>3235</v>
      </c>
      <c r="C17" s="6" t="s">
        <v>3236</v>
      </c>
      <c r="D17" s="14" t="n">
        <v>12.52</v>
      </c>
      <c r="E17" s="14" t="n">
        <v>12.85</v>
      </c>
      <c r="F17" s="9" t="s">
        <v>2338</v>
      </c>
      <c r="G17" s="10"/>
      <c r="H17" s="10"/>
      <c r="I17" s="10"/>
      <c r="J17" s="6" t="s">
        <v>3237</v>
      </c>
      <c r="K17" s="9" t="s">
        <v>3238</v>
      </c>
    </row>
    <row r="18" customFormat="false" ht="41.75" hidden="false" customHeight="false" outlineLevel="0" collapsed="false">
      <c r="A18" s="6" t="s">
        <v>129</v>
      </c>
      <c r="B18" s="6" t="s">
        <v>3239</v>
      </c>
      <c r="C18" s="6" t="s">
        <v>3240</v>
      </c>
      <c r="D18" s="14" t="n">
        <v>44.92</v>
      </c>
      <c r="E18" s="14" t="n">
        <v>44.92</v>
      </c>
      <c r="F18" s="9" t="s">
        <v>2183</v>
      </c>
      <c r="G18" s="10"/>
      <c r="H18" s="10"/>
      <c r="I18" s="10"/>
      <c r="J18" s="11" t="s">
        <v>3241</v>
      </c>
      <c r="K18" s="9" t="s">
        <v>3242</v>
      </c>
    </row>
    <row r="19" customFormat="false" ht="41.75" hidden="false" customHeight="false" outlineLevel="0" collapsed="false">
      <c r="A19" s="6" t="s">
        <v>96</v>
      </c>
      <c r="B19" s="6" t="s">
        <v>3243</v>
      </c>
      <c r="C19" s="6" t="s">
        <v>3244</v>
      </c>
      <c r="D19" s="14" t="n">
        <v>23.27</v>
      </c>
      <c r="E19" s="14" t="n">
        <v>23.27</v>
      </c>
      <c r="F19" s="9" t="s">
        <v>2163</v>
      </c>
      <c r="G19" s="10"/>
      <c r="H19" s="10"/>
      <c r="I19" s="10"/>
      <c r="J19" s="11" t="s">
        <v>3245</v>
      </c>
      <c r="K19" s="9" t="s">
        <v>3246</v>
      </c>
    </row>
    <row r="20" customFormat="false" ht="15" hidden="false" customHeight="false" outlineLevel="0" collapsed="false">
      <c r="A20" s="6" t="s">
        <v>153</v>
      </c>
      <c r="B20" s="6" t="s">
        <v>3247</v>
      </c>
      <c r="C20" s="6" t="s">
        <v>3248</v>
      </c>
      <c r="D20" s="14" t="n">
        <v>37.72</v>
      </c>
      <c r="E20" s="14" t="n">
        <v>37.72</v>
      </c>
      <c r="F20" s="9" t="s">
        <v>2204</v>
      </c>
      <c r="G20" s="10"/>
      <c r="H20" s="10"/>
      <c r="I20" s="10"/>
      <c r="J20" s="6" t="s">
        <v>3249</v>
      </c>
      <c r="K20" s="9" t="s">
        <v>3250</v>
      </c>
    </row>
    <row r="21" customFormat="false" ht="15" hidden="false" customHeight="false" outlineLevel="0" collapsed="false">
      <c r="A21" s="6" t="s">
        <v>67</v>
      </c>
      <c r="B21" s="6" t="s">
        <v>3251</v>
      </c>
      <c r="C21" s="6" t="s">
        <v>3252</v>
      </c>
      <c r="D21" s="14" t="n">
        <v>46.53</v>
      </c>
      <c r="E21" s="14" t="n">
        <v>46.53</v>
      </c>
      <c r="F21" s="9" t="s">
        <v>2099</v>
      </c>
      <c r="G21" s="10"/>
      <c r="H21" s="10"/>
      <c r="I21" s="10"/>
      <c r="J21" s="6" t="s">
        <v>3253</v>
      </c>
      <c r="K21" s="9" t="s">
        <v>3254</v>
      </c>
    </row>
    <row r="22" customFormat="false" ht="15" hidden="false" customHeight="false" outlineLevel="0" collapsed="false">
      <c r="A22" s="6" t="s">
        <v>49</v>
      </c>
      <c r="B22" s="6" t="s">
        <v>3235</v>
      </c>
      <c r="C22" s="6" t="s">
        <v>3255</v>
      </c>
      <c r="D22" s="14" t="n">
        <v>7.74</v>
      </c>
      <c r="E22" s="14" t="n">
        <v>8.06</v>
      </c>
      <c r="F22" s="9" t="s">
        <v>444</v>
      </c>
      <c r="G22" s="10"/>
      <c r="H22" s="10"/>
      <c r="I22" s="10"/>
      <c r="J22" s="6" t="s">
        <v>3256</v>
      </c>
      <c r="K22" s="9" t="s">
        <v>3257</v>
      </c>
    </row>
    <row r="23" customFormat="false" ht="15" hidden="false" customHeight="false" outlineLevel="0" collapsed="false">
      <c r="A23" s="6" t="s">
        <v>420</v>
      </c>
      <c r="B23" s="6" t="s">
        <v>3258</v>
      </c>
      <c r="C23" s="6" t="s">
        <v>3259</v>
      </c>
      <c r="D23" s="14" t="n">
        <v>12.45</v>
      </c>
      <c r="E23" s="14" t="n">
        <v>12.45</v>
      </c>
      <c r="F23" s="9" t="s">
        <v>2114</v>
      </c>
      <c r="G23" s="10"/>
      <c r="H23" s="10"/>
      <c r="I23" s="10"/>
      <c r="J23" s="6" t="s">
        <v>3260</v>
      </c>
      <c r="K23" s="9" t="s">
        <v>3261</v>
      </c>
    </row>
    <row r="24" customFormat="false" ht="15" hidden="false" customHeight="false" outlineLevel="0" collapsed="false">
      <c r="A24" s="9" t="s">
        <v>156</v>
      </c>
      <c r="B24" s="9" t="s">
        <v>3262</v>
      </c>
      <c r="C24" s="6" t="s">
        <v>2885</v>
      </c>
      <c r="D24" s="14" t="n">
        <v>7.73</v>
      </c>
      <c r="E24" s="14" t="n">
        <v>13.16</v>
      </c>
      <c r="F24" s="9" t="s">
        <v>2217</v>
      </c>
      <c r="G24" s="10" t="n">
        <v>4800000240</v>
      </c>
      <c r="H24" s="10" t="n">
        <v>240</v>
      </c>
      <c r="I24" s="10" t="n">
        <v>4800000000</v>
      </c>
      <c r="J24" s="6" t="s">
        <v>3263</v>
      </c>
      <c r="K24" s="9" t="s">
        <v>3264</v>
      </c>
    </row>
    <row r="25" customFormat="false" ht="15" hidden="false" customHeight="false" outlineLevel="0" collapsed="false">
      <c r="A25" s="6" t="s">
        <v>61</v>
      </c>
      <c r="B25" s="6" t="s">
        <v>2939</v>
      </c>
      <c r="C25" s="6" t="s">
        <v>2958</v>
      </c>
      <c r="D25" s="14"/>
      <c r="E25" s="14" t="n">
        <v>40.25</v>
      </c>
      <c r="F25" s="9" t="s">
        <v>2094</v>
      </c>
      <c r="G25" s="10" t="n">
        <v>920000000000</v>
      </c>
      <c r="H25" s="10"/>
      <c r="I25" s="10"/>
      <c r="J25" s="6" t="s">
        <v>3265</v>
      </c>
      <c r="K25" s="9" t="s">
        <v>3266</v>
      </c>
    </row>
    <row r="26" customFormat="false" ht="15" hidden="false" customHeight="false" outlineLevel="0" collapsed="false">
      <c r="A26" s="6" t="s">
        <v>72</v>
      </c>
      <c r="B26" s="6" t="s">
        <v>3267</v>
      </c>
      <c r="C26" s="6" t="s">
        <v>3268</v>
      </c>
      <c r="D26" s="14" t="n">
        <v>53.74</v>
      </c>
      <c r="E26" s="14" t="n">
        <v>53.74</v>
      </c>
      <c r="F26" s="9" t="s">
        <v>2121</v>
      </c>
      <c r="G26" s="10"/>
      <c r="H26" s="10"/>
      <c r="I26" s="10"/>
      <c r="J26" s="6" t="s">
        <v>3269</v>
      </c>
      <c r="K26" s="9" t="s">
        <v>3270</v>
      </c>
    </row>
    <row r="27" customFormat="false" ht="15" hidden="false" customHeight="false" outlineLevel="0" collapsed="false">
      <c r="A27" s="6" t="s">
        <v>114</v>
      </c>
      <c r="B27" s="6" t="s">
        <v>3271</v>
      </c>
      <c r="C27" s="6" t="s">
        <v>3272</v>
      </c>
      <c r="D27" s="14"/>
      <c r="E27" s="14" t="n">
        <v>25.4</v>
      </c>
      <c r="F27" s="9" t="s">
        <v>2133</v>
      </c>
      <c r="G27" s="10" t="n">
        <v>82346364000</v>
      </c>
      <c r="H27" s="10"/>
      <c r="I27" s="10"/>
      <c r="J27" s="6" t="s">
        <v>3265</v>
      </c>
      <c r="K27" s="9" t="s">
        <v>3273</v>
      </c>
    </row>
    <row r="28" customFormat="false" ht="15" hidden="false" customHeight="false" outlineLevel="0" collapsed="false">
      <c r="A28" s="6" t="s">
        <v>134</v>
      </c>
      <c r="B28" s="6" t="s">
        <v>3274</v>
      </c>
      <c r="C28" s="6" t="s">
        <v>3275</v>
      </c>
      <c r="D28" s="14" t="n">
        <v>26.81</v>
      </c>
      <c r="E28" s="14" t="n">
        <v>26.96</v>
      </c>
      <c r="F28" s="9" t="s">
        <v>2225</v>
      </c>
      <c r="G28" s="10" t="n">
        <v>61750723</v>
      </c>
      <c r="H28" s="10" t="n">
        <v>61750723</v>
      </c>
      <c r="I28" s="10"/>
      <c r="J28" s="6" t="s">
        <v>3276</v>
      </c>
      <c r="K28" s="9" t="s">
        <v>3277</v>
      </c>
    </row>
    <row r="29" customFormat="false" ht="15" hidden="false" customHeight="false" outlineLevel="0" collapsed="false">
      <c r="A29" s="6" t="s">
        <v>387</v>
      </c>
      <c r="B29" s="6" t="s">
        <v>3278</v>
      </c>
      <c r="C29" s="6" t="s">
        <v>3279</v>
      </c>
      <c r="D29" s="14" t="n">
        <v>11.2</v>
      </c>
      <c r="E29" s="14" t="n">
        <v>9.73</v>
      </c>
      <c r="F29" s="9" t="s">
        <v>2104</v>
      </c>
      <c r="G29" s="10"/>
      <c r="H29" s="10"/>
      <c r="I29" s="10"/>
      <c r="J29" s="6" t="s">
        <v>3280</v>
      </c>
      <c r="K29" s="9" t="s">
        <v>3281</v>
      </c>
    </row>
    <row r="30" customFormat="false" ht="15" hidden="false" customHeight="false" outlineLevel="0" collapsed="false">
      <c r="A30" s="6" t="s">
        <v>85</v>
      </c>
      <c r="B30" s="9" t="s">
        <v>3282</v>
      </c>
      <c r="C30" s="9" t="s">
        <v>3283</v>
      </c>
      <c r="D30" s="14" t="n">
        <v>21.26</v>
      </c>
      <c r="E30" s="14" t="n">
        <v>21.26</v>
      </c>
      <c r="F30" s="9" t="s">
        <v>2138</v>
      </c>
      <c r="G30" s="10" t="n">
        <v>60587840880</v>
      </c>
      <c r="H30" s="10" t="n">
        <v>60587840880</v>
      </c>
      <c r="I30" s="10"/>
      <c r="J30" s="6" t="s">
        <v>3284</v>
      </c>
      <c r="K30" s="9" t="s">
        <v>3285</v>
      </c>
    </row>
    <row r="31" customFormat="false" ht="40.25" hidden="false" customHeight="false" outlineLevel="0" collapsed="false">
      <c r="A31" s="9" t="s">
        <v>90</v>
      </c>
      <c r="B31" s="6" t="s">
        <v>3286</v>
      </c>
      <c r="C31" s="6" t="s">
        <v>3287</v>
      </c>
      <c r="D31" s="14" t="n">
        <v>40.33</v>
      </c>
      <c r="E31" s="14" t="n">
        <v>40.33</v>
      </c>
      <c r="F31" s="9" t="s">
        <v>2126</v>
      </c>
      <c r="G31" s="10" t="n">
        <v>89915903000</v>
      </c>
      <c r="H31" s="10" t="n">
        <v>19000000000</v>
      </c>
      <c r="I31" s="10" t="n">
        <v>70915903000</v>
      </c>
      <c r="J31" s="11" t="s">
        <v>3288</v>
      </c>
      <c r="K31" s="9" t="s">
        <v>3289</v>
      </c>
    </row>
    <row r="32" customFormat="false" ht="15" hidden="false" customHeight="false" outlineLevel="0" collapsed="false">
      <c r="A32" s="6" t="s">
        <v>150</v>
      </c>
      <c r="B32" s="6" t="s">
        <v>3290</v>
      </c>
      <c r="C32" s="6" t="s">
        <v>3291</v>
      </c>
      <c r="D32" s="14" t="n">
        <v>26.2</v>
      </c>
      <c r="E32" s="14" t="n">
        <v>26.2</v>
      </c>
      <c r="F32" s="9" t="s">
        <v>2221</v>
      </c>
      <c r="G32" s="10" t="n">
        <v>1473256296</v>
      </c>
      <c r="H32" s="10" t="n">
        <v>1473256296</v>
      </c>
      <c r="I32" s="10"/>
      <c r="J32" s="6" t="s">
        <v>3292</v>
      </c>
      <c r="K32" s="9" t="s">
        <v>3293</v>
      </c>
    </row>
    <row r="33" customFormat="false" ht="15" hidden="false" customHeight="false" outlineLevel="0" collapsed="false">
      <c r="A33" s="6" t="s">
        <v>160</v>
      </c>
      <c r="B33" s="6" t="s">
        <v>3294</v>
      </c>
      <c r="C33" s="9" t="s">
        <v>3295</v>
      </c>
      <c r="D33" s="14" t="n">
        <v>17.35</v>
      </c>
      <c r="E33" s="14" t="n">
        <v>33.8</v>
      </c>
      <c r="F33" s="9" t="s">
        <v>2199</v>
      </c>
      <c r="G33" s="10" t="n">
        <v>9969945780</v>
      </c>
      <c r="H33" s="10" t="n">
        <v>9969945780</v>
      </c>
      <c r="I33" s="10"/>
      <c r="J33" s="6" t="s">
        <v>3296</v>
      </c>
      <c r="K33" s="9" t="s">
        <v>3297</v>
      </c>
    </row>
  </sheetData>
  <autoFilter ref="A4:K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2026-08-07T09:30:03Z</dcterms:created>
  <dc:creator>openpyxl</dc:creator>
  <dc:description/>
  <dc:language>ko-KR</dc:language>
  <cp:lastModifiedBy/>
  <dcterms:modified xsi:type="dcterms:W3CDTF">2026-08-07T09:30:03Z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